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תמונת מצב" sheetId="1" state="visible" r:id="rId2"/>
    <sheet name="משימות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<sst xmlns="http://schemas.openxmlformats.org/spreadsheetml/2006/main" count="208" uniqueCount="128">
  <si>
    <t xml:space="preserve">ניהול משימות הרובוט</t>
  </si>
  <si>
    <t xml:space="preserve">יעד: תנועה בטוחה בקומה, כניסה לחדר, תפיסת קופסה משולחן והעברתה לחדר אחר.</t>
  </si>
  <si>
    <t xml:space="preserve">תתי־משימות</t>
  </si>
  <si>
    <t xml:space="preserve">הושלמו</t>
  </si>
  <si>
    <t xml:space="preserve">חסומות</t>
  </si>
  <si>
    <t xml:space="preserve">באיחור</t>
  </si>
  <si>
    <t xml:space="preserve">אחוז המשימות שהושלמו</t>
  </si>
  <si>
    <t xml:space="preserve">תחום עבודה</t>
  </si>
  <si>
    <t xml:space="preserve">צוות לפי ההודעה</t>
  </si>
  <si>
    <t xml:space="preserve">מצב התחום</t>
  </si>
  <si>
    <t xml:space="preserve">ללא סטטוס</t>
  </si>
  <si>
    <t xml:space="preserve">ללא אחראי</t>
  </si>
  <si>
    <t xml:space="preserve">הערות </t>
  </si>
  <si>
    <t xml:space="preserve">זיהוי ותפיסה</t>
  </si>
  <si>
    <t xml:space="preserve">שירה, מקסים, ליאור</t>
  </si>
  <si>
    <t xml:space="preserve">בעבודה</t>
  </si>
  <si>
    <t xml:space="preserve">לוקאליזציה במרחב</t>
  </si>
  <si>
    <t xml:space="preserve">איתי, דויד, דניאל</t>
  </si>
  <si>
    <t xml:space="preserve">ניווט לוקאלי</t>
  </si>
  <si>
    <t xml:space="preserve">פנחס, יהונתן, אליאס</t>
  </si>
  <si>
    <t xml:space="preserve">אינטגרציה והדגמה</t>
  </si>
  <si>
    <t xml:space="preserve">טרם נקבע</t>
  </si>
  <si>
    <t xml:space="preserve">מוצע</t>
  </si>
  <si>
    <t xml:space="preserve">שם</t>
  </si>
  <si>
    <t xml:space="preserve">תפקיד / מסלול לימודים</t>
  </si>
  <si>
    <t xml:space="preserve">היקף עבודה</t>
  </si>
  <si>
    <t xml:space="preserve">שירה</t>
  </si>
  <si>
    <t xml:space="preserve">תלמיד תיכון</t>
  </si>
  <si>
    <t xml:space="preserve">מקסים</t>
  </si>
  <si>
    <t xml:space="preserve">ליאור</t>
  </si>
  <si>
    <t xml:space="preserve">איתי</t>
  </si>
  <si>
    <t xml:space="preserve">דויד</t>
  </si>
  <si>
    <t xml:space="preserve">דניאל</t>
  </si>
  <si>
    <t xml:space="preserve">פנחס</t>
  </si>
  <si>
    <t xml:space="preserve">סטודנט לתואר שני</t>
  </si>
  <si>
    <t xml:space="preserve">יהונתן</t>
  </si>
  <si>
    <t xml:space="preserve">אליאס</t>
  </si>
  <si>
    <t xml:space="preserve">דוקטורנט</t>
  </si>
  <si>
    <t xml:space="preserve">שיקר</t>
  </si>
  <si>
    <t xml:space="preserve">פוסטדוק</t>
  </si>
  <si>
    <t xml:space="preserve">נקודות להשלמה</t>
  </si>
  <si>
    <t xml:space="preserve">אובייקט היעד: במשימת העל צוינה קופסה, ובתחום התפיסה צוינה בובה. נדרש לחדד אם מדובר בשני שלבים.</t>
  </si>
  <si>
    <t xml:space="preserve">אחריות: הצוותים משויכים לתחומים. יש לבחור אחראי לכל תת־משימה ולהוסיף שותפים לפי הצורך.</t>
  </si>
  <si>
    <t xml:space="preserve">תכנון: יש לעדכן סטטוס ומועד יעד. שורות המסומנות ״פירוק מוצע״ הן הצעה ולא משימות שאושרו.</t>
  </si>
  <si>
    <t xml:space="preserve">עדכון: בגיליון ״משימות״ יש רשימות בחירה וסינון בכותרות. תאריכים מזינים כתאריך Excel רגיל.</t>
  </si>
  <si>
    <t xml:space="preserve">הוספת תת־משימה: מלאו שורה פנויה בסוף התחום בגיליון ״משימות״. יש לבחור אחראי וסטטוס.</t>
  </si>
  <si>
    <t xml:space="preserve">כל תחום מסומן בצבע ובקו הפרדה. שורות נוספות זמינות עד שורה 106; בחרו תחום וסננו לפי הצורך.</t>
  </si>
  <si>
    <t xml:space="preserve">מדד ההשלמה מבוסס על מספר תתי־המשימות שסומנו ״הושלם״, ללא שקלול היקף העבודה.</t>
  </si>
  <si>
    <t xml:space="preserve">משימות ותתי־משימות</t>
  </si>
  <si>
    <t xml:space="preserve">להוספת תת־משימה: מלאו אחת משתי השורות הפנויות בסוף התחום. שם התחום כבר מוגדר, והסיכום יתעדכן אוטומטית.</t>
  </si>
  <si>
    <t xml:space="preserve">למשימות נוספות: השתמשו בשורה פנויה בהמשך הטבלה ובחרו תחום מהרשימה. אפשר לסנן לפי תחום כדי לראות את כולן יחד.</t>
  </si>
  <si>
    <t xml:space="preserve">מזהה</t>
  </si>
  <si>
    <t xml:space="preserve">משימה ראשית</t>
  </si>
  <si>
    <t xml:space="preserve">תת־משימה</t>
  </si>
  <si>
    <t xml:space="preserve">אחראי</t>
  </si>
  <si>
    <t xml:space="preserve">שותפים</t>
  </si>
  <si>
    <t xml:space="preserve">סטטוס</t>
  </si>
  <si>
    <t xml:space="preserve">מועד יעד</t>
  </si>
  <si>
    <t xml:space="preserve">תוצר צפוי</t>
  </si>
  <si>
    <t xml:space="preserve">תלות במשימה</t>
  </si>
  <si>
    <t xml:space="preserve">בסיס המשימה</t>
  </si>
  <si>
    <t xml:space="preserve">הערות</t>
  </si>
  <si>
    <t xml:space="preserve">T01</t>
  </si>
  <si>
    <t xml:space="preserve">זיהוי בובה</t>
  </si>
  <si>
    <t xml:space="preserve">הושלם</t>
  </si>
  <si>
    <t xml:space="preserve">זיהוי האובייקט המיועד לתפיסה</t>
  </si>
  <si>
    <t xml:space="preserve">נמסר</t>
  </si>
  <si>
    <t xml:space="preserve">יש לחדד את הקשר בין בובה לקופסה</t>
  </si>
  <si>
    <t xml:space="preserve">T02</t>
  </si>
  <si>
    <t xml:space="preserve">תפיסת בובה מעל שולחן</t>
  </si>
  <si>
    <t xml:space="preserve">תפיסה של האובייקט שזוהה</t>
  </si>
  <si>
    <t xml:space="preserve">T03</t>
  </si>
  <si>
    <t xml:space="preserve">הכוונת הניווט לעמדת תפיסה</t>
  </si>
  <si>
    <t xml:space="preserve">לא דווח</t>
  </si>
  <si>
    <t xml:space="preserve">הכוונה לשולחן ולמיקום מתאים לתפיסה</t>
  </si>
  <si>
    <t xml:space="preserve">נמסר כעתידי</t>
  </si>
  <si>
    <t xml:space="preserve">כולל תיאום מול צוות הניווט</t>
  </si>
  <si>
    <t xml:space="preserve">שורה להוספת תת־משימה: מלאו שם, אחראי וסטטוס</t>
  </si>
  <si>
    <t xml:space="preserve">T04</t>
  </si>
  <si>
    <t xml:space="preserve">לוקאליזציה בקומה באמצעות Wi-Fi</t>
  </si>
  <si>
    <t xml:space="preserve">מיקום הרובוט במרחב באמצעות נתוני Wi-Fi</t>
  </si>
  <si>
    <t xml:space="preserve">מבוסס כיום על שלושה נתבים לכל הקומה</t>
  </si>
  <si>
    <t xml:space="preserve">T05</t>
  </si>
  <si>
    <t xml:space="preserve">הרחבה למספר רב של נתבי Wi-Fi</t>
  </si>
  <si>
    <t xml:space="preserve">חסום</t>
  </si>
  <si>
    <t xml:space="preserve">לוקאליזציה באמצעות מספר רב של נתבים במקום שלושה לכל הקומה</t>
  </si>
  <si>
    <t xml:space="preserve">לא נמצא עדיין מיאפה ךקנות את האוטרים</t>
  </si>
  <si>
    <t xml:space="preserve">T12</t>
  </si>
  <si>
    <t xml:space="preserve">לוקאליזציה באמצעות לידאר</t>
  </si>
  <si>
    <t xml:space="preserve">אמידת מיקום הרובוט באמצעות לידאר</t>
  </si>
  <si>
    <t xml:space="preserve">T06</t>
  </si>
  <si>
    <t xml:space="preserve">תנועה ללא התנגשויות</t>
  </si>
  <si>
    <t xml:space="preserve">ניווט מקומי בטוח במסלול הניסוי</t>
  </si>
  <si>
    <t xml:space="preserve">T07</t>
  </si>
  <si>
    <t xml:space="preserve">הגעה לחדר היעד</t>
  </si>
  <si>
    <t xml:space="preserve">טרם התחיל</t>
  </si>
  <si>
    <t xml:space="preserve">הגעה לחדר שנבחר תוך הימנעות ממכשולים</t>
  </si>
  <si>
    <t xml:space="preserve">T04, T06</t>
  </si>
  <si>
    <t xml:space="preserve">התלויות הן הצעה לתיאום</t>
  </si>
  <si>
    <t xml:space="preserve">T08</t>
  </si>
  <si>
    <t xml:space="preserve">התקרבות לשולחן לצורך תפיסה</t>
  </si>
  <si>
    <t xml:space="preserve">שירה ו פנחס</t>
  </si>
  <si>
    <t xml:space="preserve">עצירה בעמדה מתאימה מול השולחן</t>
  </si>
  <si>
    <t xml:space="preserve">T03, T06</t>
  </si>
  <si>
    <t xml:space="preserve">פירוק מוצע</t>
  </si>
  <si>
    <t xml:space="preserve">תיאום עם צוות הזיהוי והתפיסה</t>
  </si>
  <si>
    <t xml:space="preserve">T11</t>
  </si>
  <si>
    <t xml:space="preserve">שילוב מצלמת המובייל במקום רכיב הזיכרון</t>
  </si>
  <si>
    <t xml:space="preserve">שילוב מצלמת המובייל בניווט המקומי כתחליף לרכיב הזיכרון</t>
  </si>
  <si>
    <t xml:space="preserve">T13</t>
  </si>
  <si>
    <t xml:space="preserve">פיתוח יישום ניווט מבוסס ראייה, גמיש ומודולרי</t>
  </si>
  <si>
    <t xml:space="preserve">יישום ניווט מבוסס ראייה עם רכיבים מודולריים הניתנים להחלפה</t>
  </si>
  <si>
    <t xml:space="preserve">T14</t>
  </si>
  <si>
    <t xml:space="preserve">פיתוח יישום להפעלת הרובוט ולהתחברות אליו</t>
  </si>
  <si>
    <t xml:space="preserve">יישום להפעלת הרובוט וליצירת חיבור אליו</t>
  </si>
  <si>
    <t xml:space="preserve">T15</t>
  </si>
  <si>
    <t xml:space="preserve">הוספת אפשרות להימנעות ממכשולים באמצעות לידאר</t>
  </si>
  <si>
    <t xml:space="preserve">אפשרות לשימוש בלידאר לצורך הימנעות ממכשולים</t>
  </si>
  <si>
    <t xml:space="preserve">T09</t>
  </si>
  <si>
    <t xml:space="preserve">העברת הקופסה והנחתה בחדר אחר</t>
  </si>
  <si>
    <t xml:space="preserve">העברה והנחה של הקופסה בחדר היעד</t>
  </si>
  <si>
    <t xml:space="preserve">T02, T07, T08</t>
  </si>
  <si>
    <t xml:space="preserve">נמסר כיעד</t>
  </si>
  <si>
    <t xml:space="preserve">שיוך התחום מוצע. יש לחדד תפיסת קופסה מול בובה</t>
  </si>
  <si>
    <t xml:space="preserve">T10</t>
  </si>
  <si>
    <t xml:space="preserve">ניסוי משולב מקצה לקצה</t>
  </si>
  <si>
    <t xml:space="preserve">הדגמת הרצף המלא של ניווט, תפיסה, העברה והנחה</t>
  </si>
  <si>
    <t xml:space="preserve">לקבוע תנאי הצלחה ומועד יחד עם הצוותים</t>
  </si>
</sst>
</file>

<file path=xl/styles.xml><?xml version="1.0" encoding="utf-8"?>
<styleSheet xmlns="http://schemas.openxmlformats.org/spreadsheetml/2006/main">
  <numFmts count="10">
    <numFmt numFmtId="164" formatCode="[$-40D]dd/mm/yyyy"/>
    <numFmt numFmtId="165" formatCode="General"/>
    <numFmt numFmtId="166" formatCode="_(* #,##0.00_);_(* \(#,##0.00\);_(* \-??_);_(@_)"/>
    <numFmt numFmtId="167" formatCode="_(* #,##0_);_(* \(#,##0\);_(* \-_);_(@_)"/>
    <numFmt numFmtId="168" formatCode="_(\$* #,##0.00_);_(\$* \(#,##0.00\);_(\$* \-??_);_(@_)"/>
    <numFmt numFmtId="169" formatCode="_(\$* #,##0_);_(\$* \(#,##0\);_(\$* \-_);_(@_)"/>
    <numFmt numFmtId="170" formatCode="0%"/>
    <numFmt numFmtId="171" formatCode="0"/>
    <numFmt numFmtId="172" formatCode="General"/>
    <numFmt numFmtId="173" formatCode="dd/mm/yyyy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1"/>
      <name val="Calibri"/>
      <family val="0"/>
      <charset val="1"/>
    </font>
    <font>
      <sz val="11"/>
      <color rgb="FF26364A"/>
      <name val="Arial"/>
      <family val="0"/>
      <charset val="1"/>
    </font>
    <font>
      <b val="true"/>
      <sz val="17"/>
      <color rgb="FF203652"/>
      <name val="Arial"/>
      <family val="0"/>
      <charset val="1"/>
    </font>
    <font>
      <sz val="11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7"/>
      <color rgb="FF366BA8"/>
      <name val="Arial"/>
      <family val="0"/>
      <charset val="1"/>
    </font>
    <font>
      <b val="true"/>
      <sz val="11"/>
      <color rgb="FF3269A8"/>
      <name val="Arial"/>
      <family val="0"/>
      <charset val="1"/>
    </font>
    <font>
      <b val="true"/>
      <sz val="11"/>
      <color rgb="FF31806D"/>
      <name val="Arial"/>
      <family val="0"/>
      <charset val="1"/>
    </font>
    <font>
      <b val="true"/>
      <sz val="11"/>
      <color rgb="FF8261AD"/>
      <name val="Arial"/>
      <family val="0"/>
      <charset val="1"/>
    </font>
    <font>
      <b val="true"/>
      <sz val="11"/>
      <color rgb="FFB57C2D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sz val="11"/>
      <color rgb="FF26364A"/>
      <name val="Arial"/>
      <family val="2"/>
      <charset val="1"/>
    </font>
    <font>
      <b val="true"/>
      <sz val="11"/>
      <color rgb="FF26364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03652"/>
        <bgColor rgb="FF26364A"/>
      </patternFill>
    </fill>
    <fill>
      <patternFill patternType="solid">
        <fgColor rgb="FFEDF3FA"/>
        <bgColor rgb="FFF0F4F8"/>
      </patternFill>
    </fill>
    <fill>
      <patternFill patternType="solid">
        <fgColor rgb="FFE7F0FC"/>
        <bgColor rgb="FFE8EDF3"/>
      </patternFill>
    </fill>
    <fill>
      <patternFill patternType="solid">
        <fgColor rgb="FFFFF4D6"/>
        <bgColor rgb="FFFFF1DD"/>
      </patternFill>
    </fill>
    <fill>
      <patternFill patternType="solid">
        <fgColor rgb="FFF0F4F8"/>
        <bgColor rgb="FFF0F2F6"/>
      </patternFill>
    </fill>
    <fill>
      <patternFill patternType="solid">
        <fgColor rgb="FFE4F3EE"/>
        <bgColor rgb="FFDDF2E5"/>
      </patternFill>
    </fill>
    <fill>
      <patternFill patternType="solid">
        <fgColor rgb="FFFFFFFF"/>
        <bgColor rgb="FFF0F4F8"/>
      </patternFill>
    </fill>
    <fill>
      <patternFill patternType="solid">
        <fgColor rgb="FFF2EAFB"/>
        <bgColor rgb="FFF0F2F6"/>
      </patternFill>
    </fill>
    <fill>
      <patternFill patternType="solid">
        <fgColor rgb="FFFFF1DD"/>
        <bgColor rgb="FFFFF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506580"/>
      </top>
      <bottom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false" applyAlignment="false" applyProtection="false"/>
  </cellStyleXfs>
  <cellXfs count="41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5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8" fillId="0" borderId="0" xfId="25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9" fillId="0" borderId="0" xfId="25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0" fillId="2" borderId="0" xfId="25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8" fillId="3" borderId="0" xfId="24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11" fillId="3" borderId="0" xfId="25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2" fillId="4" borderId="0" xfId="25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5" borderId="0" xfId="25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2" fontId="7" fillId="6" borderId="0" xfId="25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6" borderId="0" xfId="25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3" fillId="7" borderId="0" xfId="25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2" fontId="7" fillId="8" borderId="0" xfId="25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8" borderId="0" xfId="25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4" fillId="9" borderId="0" xfId="25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5" fillId="10" borderId="0" xfId="25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6" fillId="2" borderId="0" xfId="24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7" fillId="3" borderId="0" xfId="24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70" fontId="17" fillId="3" borderId="0" xfId="24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7" fillId="8" borderId="0" xfId="24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70" fontId="17" fillId="8" borderId="0" xfId="24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7" fillId="0" borderId="0" xfId="24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8" fillId="4" borderId="1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5" borderId="1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3" fontId="7" fillId="5" borderId="1" xfId="24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5" fontId="7" fillId="4" borderId="1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4" borderId="0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5" borderId="0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3" fontId="7" fillId="5" borderId="0" xfId="24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5" fontId="18" fillId="7" borderId="1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7" borderId="1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7" borderId="0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8" fillId="7" borderId="0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9" borderId="1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9" borderId="0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8" fillId="9" borderId="0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10" borderId="1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10" borderId="0" xfId="24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0" borderId="0" xfId="25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0" borderId="0" xfId="25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3" fontId="7" fillId="5" borderId="0" xfId="24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33">
    <dxf>
      <fill>
        <patternFill patternType="solid">
          <fgColor rgb="FF203652"/>
        </patternFill>
      </fill>
    </dxf>
    <dxf>
      <fill>
        <patternFill patternType="solid">
          <fgColor rgb="FFE4F3EE"/>
        </patternFill>
      </fill>
    </dxf>
    <dxf>
      <fill>
        <patternFill patternType="solid">
          <fgColor rgb="FFE7F0FC"/>
        </patternFill>
      </fill>
    </dxf>
    <dxf>
      <fill>
        <patternFill patternType="solid">
          <fgColor rgb="FFF2EAFB"/>
        </patternFill>
      </fill>
    </dxf>
    <dxf>
      <fill>
        <patternFill patternType="solid">
          <fgColor rgb="FFFFF1DD"/>
        </patternFill>
      </fill>
    </dxf>
    <dxf>
      <fill>
        <patternFill patternType="solid">
          <fgColor rgb="FF26364A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DCEAFE"/>
        </patternFill>
      </fill>
    </dxf>
    <dxf>
      <fill>
        <patternFill patternType="solid">
          <fgColor rgb="FFDDF2E5"/>
        </patternFill>
      </fill>
    </dxf>
    <dxf>
      <fill>
        <patternFill patternType="solid">
          <fgColor rgb="FFE8EDF3"/>
        </patternFill>
      </fill>
    </dxf>
    <dxf>
      <fill>
        <patternFill patternType="solid">
          <fgColor rgb="FFF0F2F6"/>
        </patternFill>
      </fill>
    </dxf>
    <dxf>
      <fill>
        <patternFill patternType="solid">
          <fgColor rgb="FFFFE2E2"/>
        </patternFill>
      </fill>
    </dxf>
    <dxf>
      <fill>
        <patternFill patternType="solid">
          <fgColor rgb="FF237445"/>
        </patternFill>
      </fill>
    </dxf>
    <dxf>
      <fill>
        <patternFill patternType="solid">
          <fgColor rgb="FF24599A"/>
        </patternFill>
      </fill>
    </dxf>
    <dxf>
      <fill>
        <patternFill patternType="solid">
          <fgColor rgb="FF526173"/>
        </patternFill>
      </fill>
    </dxf>
    <dxf>
      <fill>
        <patternFill patternType="solid">
          <fgColor rgb="FF64748B"/>
        </patternFill>
      </fill>
    </dxf>
    <dxf>
      <fill>
        <patternFill patternType="solid">
          <fgColor rgb="FFA12738"/>
        </patternFill>
      </fill>
    </dxf>
    <dxf>
      <font>
        <b val="1"/>
        <color rgb="FF64748B"/>
      </font>
      <fill>
        <patternFill>
          <bgColor rgb="FFE8EDF3"/>
        </patternFill>
      </fill>
    </dxf>
    <dxf>
      <font>
        <b val="1"/>
        <color rgb="FF526173"/>
      </font>
      <fill>
        <patternFill>
          <bgColor rgb="FFF0F2F6"/>
        </patternFill>
      </fill>
    </dxf>
    <dxf>
      <font>
        <b val="1"/>
        <color rgb="FF24599A"/>
      </font>
      <fill>
        <patternFill>
          <bgColor rgb="FFDCEAFE"/>
        </patternFill>
      </fill>
    </dxf>
    <dxf>
      <font>
        <b val="1"/>
        <color rgb="FF916114"/>
      </font>
      <fill>
        <patternFill>
          <bgColor rgb="FFFFF0CC"/>
        </patternFill>
      </fill>
    </dxf>
    <dxf>
      <font>
        <b val="1"/>
        <color rgb="FFA12738"/>
      </font>
      <fill>
        <patternFill>
          <bgColor rgb="FFFFE2E2"/>
        </patternFill>
      </fill>
    </dxf>
    <dxf>
      <font>
        <b val="1"/>
        <color rgb="FF237445"/>
      </font>
      <fill>
        <patternFill>
          <bgColor rgb="FFDDF2E5"/>
        </patternFill>
      </fill>
    </dxf>
    <dxf>
      <font>
        <b val="1"/>
        <color rgb="FFA12738"/>
      </font>
      <numFmt numFmtId="164" formatCode="[$-40D]dd/mm/yyyy"/>
      <fill>
        <patternFill>
          <bgColor rgb="FFFFE2E2"/>
        </patternFill>
      </fill>
    </dxf>
    <dxf>
      <fill>
        <patternFill>
          <bgColor rgb="FFE7F0FC"/>
        </patternFill>
      </fill>
    </dxf>
    <dxf>
      <fill>
        <patternFill>
          <bgColor rgb="FFE4F3EE"/>
        </patternFill>
      </fill>
    </dxf>
    <dxf>
      <fill>
        <patternFill>
          <bgColor rgb="FFF2EAFB"/>
        </patternFill>
      </fill>
    </dxf>
    <dxf>
      <fill>
        <patternFill>
          <bgColor rgb="FFFFF1DD"/>
        </patternFill>
      </fill>
    </dxf>
    <dxf>
      <fill>
        <patternFill>
          <bgColor rgb="FFE7F0FC"/>
        </patternFill>
      </fill>
    </dxf>
    <dxf>
      <fill>
        <patternFill>
          <bgColor rgb="FFE4F3EE"/>
        </patternFill>
      </fill>
    </dxf>
    <dxf>
      <fill>
        <patternFill>
          <bgColor rgb="FFF2EAFB"/>
        </patternFill>
      </fill>
    </dxf>
    <dxf>
      <fill>
        <patternFill>
          <bgColor rgb="FFFFF1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0F4F8"/>
      <rgbColor rgb="FFFF00FF"/>
      <rgbColor rgb="FF00FFFF"/>
      <rgbColor rgb="FF800000"/>
      <rgbColor rgb="FF008000"/>
      <rgbColor rgb="FF000080"/>
      <rgbColor rgb="FF916114"/>
      <rgbColor rgb="FF800080"/>
      <rgbColor rgb="FF237445"/>
      <rgbColor rgb="FFF2EAFB"/>
      <rgbColor rgb="FF8261AD"/>
      <rgbColor rgb="FFEDF3FA"/>
      <rgbColor rgb="FFA12738"/>
      <rgbColor rgb="FFFFF4D6"/>
      <rgbColor rgb="FFE4F3EE"/>
      <rgbColor rgb="FF660066"/>
      <rgbColor rgb="FFFF8080"/>
      <rgbColor rgb="FF24599A"/>
      <rgbColor rgb="FFE8EDF3"/>
      <rgbColor rgb="FF000080"/>
      <rgbColor rgb="FFFF00FF"/>
      <rgbColor rgb="FFFFFF00"/>
      <rgbColor rgb="FF00FFFF"/>
      <rgbColor rgb="FF800080"/>
      <rgbColor rgb="FF800000"/>
      <rgbColor rgb="FF366BA8"/>
      <rgbColor rgb="FF0000FF"/>
      <rgbColor rgb="FF00CCFF"/>
      <rgbColor rgb="FFDCEAFE"/>
      <rgbColor rgb="FFDDF2E5"/>
      <rgbColor rgb="FFFFF0CC"/>
      <rgbColor rgb="FFE7F0FC"/>
      <rgbColor rgb="FFFFF1DD"/>
      <rgbColor rgb="FFF0F2F6"/>
      <rgbColor rgb="FFFFE2E2"/>
      <rgbColor rgb="FF3269A8"/>
      <rgbColor rgb="FF33CCCC"/>
      <rgbColor rgb="FF99CC00"/>
      <rgbColor rgb="FFFFCC00"/>
      <rgbColor rgb="FFFF9900"/>
      <rgbColor rgb="FFFF6600"/>
      <rgbColor rgb="FF64748B"/>
      <rgbColor rgb="FFB57C2D"/>
      <rgbColor rgb="FF203652"/>
      <rgbColor rgb="FF31806D"/>
      <rgbColor rgb="FF003300"/>
      <rgbColor rgb="FF333300"/>
      <rgbColor rgb="FF993300"/>
      <rgbColor rgb="FF506580"/>
      <rgbColor rgb="FF526173"/>
      <rgbColor rgb="FF2636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obotTasks" displayName="RobotTasks" ref="A6:J106" headerRowCount="1" totalsRowCount="0" totalsRowShown="0">
  <autoFilter ref="A6:J106"/>
  <tableColumns count="10">
    <tableColumn id="1" name="מזהה"/>
    <tableColumn id="2" name="משימה ראשית"/>
    <tableColumn id="3" name="תת־משימה"/>
    <tableColumn id="4" name="אחראי"/>
    <tableColumn id="5" name="סטטוס"/>
    <tableColumn id="6" name="מועד יעד"/>
    <tableColumn id="7" name="תוצר צפוי"/>
    <tableColumn id="8" name="תלות במשימה"/>
    <tableColumn id="9" name="בסיס המשימה"/>
    <tableColumn id="10" name="הערות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03652"/>
    <pageSetUpPr fitToPage="false"/>
  </sheetPr>
  <dimension ref="A1:H37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B28" activeCellId="0" sqref="B28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32.8"/>
    <col collapsed="false" customWidth="true" hidden="false" outlineLevel="0" max="2" min="2" style="0" width="40.37"/>
    <col collapsed="false" customWidth="true" hidden="false" outlineLevel="0" max="3" min="3" style="0" width="23.96"/>
    <col collapsed="false" customWidth="true" hidden="false" outlineLevel="0" max="7" min="4" style="0" width="21.44"/>
    <col collapsed="false" customWidth="true" hidden="false" outlineLevel="0" max="8" min="8" style="0" width="32.8"/>
  </cols>
  <sheetData>
    <row r="1" customFormat="false" ht="28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28" hidden="false" customHeight="tru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28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28" hidden="false" customHeight="tru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32" hidden="false" customHeight="true" outlineLevel="0" collapsed="false">
      <c r="A6" s="4" t="s">
        <v>2</v>
      </c>
      <c r="B6" s="4" t="s">
        <v>3</v>
      </c>
      <c r="C6" s="4" t="s">
        <v>4</v>
      </c>
      <c r="D6" s="4" t="s">
        <v>5</v>
      </c>
      <c r="E6" s="1"/>
      <c r="F6" s="4" t="s">
        <v>6</v>
      </c>
      <c r="G6" s="4"/>
      <c r="H6" s="4"/>
    </row>
    <row r="7" customFormat="false" ht="36" hidden="false" customHeight="true" outlineLevel="0" collapsed="false">
      <c r="A7" s="5" t="n">
        <f aca="false">COUNTIFS(משימות!$C$7:$C$106,"&lt;&gt;")</f>
        <v>15</v>
      </c>
      <c r="B7" s="5" t="n">
        <f aca="false">COUNTIFS(משימות!$C$7:$C$106,"&lt;&gt;",משימות!$E$7:$E$106,"הושלם")</f>
        <v>4</v>
      </c>
      <c r="C7" s="5" t="n">
        <f aca="false">COUNTIFS(משימות!$C$7:$C$106,"&lt;&gt;",משימות!$E$7:$E$106,"חסום")</f>
        <v>1</v>
      </c>
      <c r="D7" s="5" t="n">
        <f aca="true">COUNTIFS(משימות!$C$7:$C$106,"&lt;&gt;",משימות!$F$7:$F$106,"&gt;0",משימות!$F$7:$F$106,"&lt;"&amp;TODAY(),משימות!$E$7:$E$106,"&lt;&gt;הושלם")</f>
        <v>0</v>
      </c>
      <c r="E7" s="1"/>
      <c r="F7" s="6" t="n">
        <f aca="false">IF(A7=0,"",B7/A7)</f>
        <v>0.266666666666667</v>
      </c>
      <c r="G7" s="6"/>
      <c r="H7" s="6"/>
    </row>
    <row r="8" customFormat="false" ht="28" hidden="false" customHeight="tru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28" hidden="false" customHeight="tru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3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2</v>
      </c>
      <c r="E10" s="4" t="s">
        <v>3</v>
      </c>
      <c r="F10" s="4" t="s">
        <v>10</v>
      </c>
      <c r="G10" s="4" t="s">
        <v>11</v>
      </c>
      <c r="H10" s="4" t="s">
        <v>12</v>
      </c>
    </row>
    <row r="11" customFormat="false" ht="44" hidden="false" customHeight="true" outlineLevel="0" collapsed="false">
      <c r="A11" s="7" t="s">
        <v>13</v>
      </c>
      <c r="B11" s="8" t="s">
        <v>14</v>
      </c>
      <c r="C11" s="8" t="s">
        <v>15</v>
      </c>
      <c r="D11" s="9" t="n">
        <f aca="false">COUNTIFS(משימות!$B$7:$B$106,A11,משימות!$C$7:$C$106,"&lt;&gt;")</f>
        <v>3</v>
      </c>
      <c r="E11" s="9" t="n">
        <f aca="false">COUNTIFS(משימות!$B$7:$B$106,A11,משימות!$E$7:$E$106,"הושלם")</f>
        <v>1</v>
      </c>
      <c r="F11" s="9" t="n">
        <f aca="false">D11-COUNTIFS(משימות!$B$7:$B$106,A11,משימות!$C$7:$C$106,"&lt;&gt;",משימות!$E$7:$E$106,"טרם התחיל")-COUNTIFS(משימות!$B$7:$B$106,A11,משימות!$C$7:$C$106,"&lt;&gt;",משימות!$E$7:$E$106,"בעבודה")-COUNTIFS(משימות!$B$7:$B$106,A11,משימות!$C$7:$C$106,"&lt;&gt;",משימות!$E$7:$E$106,"ממתין")-COUNTIFS(משימות!$B$7:$B$106,A11,משימות!$C$7:$C$106,"&lt;&gt;",משימות!$E$7:$E$106,"חסום")-COUNTIFS(משימות!$B$7:$B$106,A11,משימות!$C$7:$C$106,"&lt;&gt;",משימות!$E$7:$E$106,"הושלם")</f>
        <v>1</v>
      </c>
      <c r="G11" s="9" t="n">
        <f aca="false">D11-COUNTIFS(משימות!$B$7:$B$106,A11,משימות!$C$7:$C$106,"&lt;&gt;",משימות!$D$7:$D$106,"&lt;&gt;",משימות!$D$7:$D$106,"&lt;&gt;טרם נקבע")</f>
        <v>1</v>
      </c>
      <c r="H11" s="10"/>
    </row>
    <row r="12" customFormat="false" ht="44" hidden="false" customHeight="true" outlineLevel="0" collapsed="false">
      <c r="A12" s="11" t="s">
        <v>16</v>
      </c>
      <c r="B12" s="8" t="s">
        <v>17</v>
      </c>
      <c r="C12" s="8" t="s">
        <v>15</v>
      </c>
      <c r="D12" s="12" t="n">
        <f aca="false">COUNTIFS(משימות!$B$7:$B$106,A12,משימות!$C$7:$C$106,"&lt;&gt;")</f>
        <v>3</v>
      </c>
      <c r="E12" s="12" t="n">
        <f aca="false">COUNTIFS(משימות!$B$7:$B$106,A12,משימות!$E$7:$E$106,"הושלם")</f>
        <v>1</v>
      </c>
      <c r="F12" s="12" t="n">
        <f aca="false">D12-COUNTIFS(משימות!$B$7:$B$106,A12,משימות!$C$7:$C$106,"&lt;&gt;",משימות!$E$7:$E$106,"טרם התחיל")-COUNTIFS(משימות!$B$7:$B$106,A12,משימות!$C$7:$C$106,"&lt;&gt;",משימות!$E$7:$E$106,"בעבודה")-COUNTIFS(משימות!$B$7:$B$106,A12,משימות!$C$7:$C$106,"&lt;&gt;",משימות!$E$7:$E$106,"ממתין")-COUNTIFS(משימות!$B$7:$B$106,A12,משימות!$C$7:$C$106,"&lt;&gt;",משימות!$E$7:$E$106,"חסום")-COUNTIFS(משימות!$B$7:$B$106,A12,משימות!$C$7:$C$106,"&lt;&gt;",משימות!$E$7:$E$106,"הושלם")</f>
        <v>1</v>
      </c>
      <c r="G12" s="12" t="n">
        <f aca="false">D12-COUNTIFS(משימות!$B$7:$B$106,A12,משימות!$C$7:$C$106,"&lt;&gt;",משימות!$D$7:$D$106,"&lt;&gt;",משימות!$D$7:$D$106,"&lt;&gt;טרם נקבע")</f>
        <v>1</v>
      </c>
      <c r="H12" s="13"/>
    </row>
    <row r="13" customFormat="false" ht="44" hidden="false" customHeight="true" outlineLevel="0" collapsed="false">
      <c r="A13" s="14" t="s">
        <v>18</v>
      </c>
      <c r="B13" s="8" t="s">
        <v>19</v>
      </c>
      <c r="C13" s="8" t="s">
        <v>15</v>
      </c>
      <c r="D13" s="9" t="n">
        <f aca="false">COUNTIFS(משימות!$B$7:$B$106,A13,משימות!$C$7:$C$106,"&lt;&gt;")</f>
        <v>7</v>
      </c>
      <c r="E13" s="9" t="n">
        <f aca="false">COUNTIFS(משימות!$B$7:$B$106,A13,משימות!$E$7:$E$106,"הושלם")</f>
        <v>2</v>
      </c>
      <c r="F13" s="9" t="n">
        <f aca="false">D13-COUNTIFS(משימות!$B$7:$B$106,A13,משימות!$C$7:$C$106,"&lt;&gt;",משימות!$E$7:$E$106,"טרם התחיל")-COUNTIFS(משימות!$B$7:$B$106,A13,משימות!$C$7:$C$106,"&lt;&gt;",משימות!$E$7:$E$106,"בעבודה")-COUNTIFS(משימות!$B$7:$B$106,A13,משימות!$C$7:$C$106,"&lt;&gt;",משימות!$E$7:$E$106,"ממתין")-COUNTIFS(משימות!$B$7:$B$106,A13,משימות!$C$7:$C$106,"&lt;&gt;",משימות!$E$7:$E$106,"חסום")-COUNTIFS(משימות!$B$7:$B$106,A13,משימות!$C$7:$C$106,"&lt;&gt;",משימות!$E$7:$E$106,"הושלם")</f>
        <v>3</v>
      </c>
      <c r="G13" s="9" t="n">
        <f aca="false">D13-COUNTIFS(משימות!$B$7:$B$106,A13,משימות!$C$7:$C$106,"&lt;&gt;",משימות!$D$7:$D$106,"&lt;&gt;",משימות!$D$7:$D$106,"&lt;&gt;טרם נקבע")</f>
        <v>0</v>
      </c>
      <c r="H13" s="10"/>
    </row>
    <row r="14" customFormat="false" ht="44" hidden="false" customHeight="true" outlineLevel="0" collapsed="false">
      <c r="A14" s="15" t="s">
        <v>20</v>
      </c>
      <c r="B14" s="8" t="s">
        <v>21</v>
      </c>
      <c r="C14" s="8" t="s">
        <v>22</v>
      </c>
      <c r="D14" s="12" t="n">
        <f aca="false">COUNTIFS(משימות!$B$7:$B$106,A14,משימות!$C$7:$C$106,"&lt;&gt;")</f>
        <v>2</v>
      </c>
      <c r="E14" s="12" t="n">
        <f aca="false">COUNTIFS(משימות!$B$7:$B$106,A14,משימות!$E$7:$E$106,"הושלם")</f>
        <v>0</v>
      </c>
      <c r="F14" s="12" t="n">
        <f aca="false">D14-COUNTIFS(משימות!$B$7:$B$106,A14,משימות!$C$7:$C$106,"&lt;&gt;",משימות!$E$7:$E$106,"טרם התחיל")-COUNTIFS(משימות!$B$7:$B$106,A14,משימות!$C$7:$C$106,"&lt;&gt;",משימות!$E$7:$E$106,"בעבודה")-COUNTIFS(משימות!$B$7:$B$106,A14,משימות!$C$7:$C$106,"&lt;&gt;",משימות!$E$7:$E$106,"ממתין")-COUNTIFS(משימות!$B$7:$B$106,A14,משימות!$C$7:$C$106,"&lt;&gt;",משימות!$E$7:$E$106,"חסום")-COUNTIFS(משימות!$B$7:$B$106,A14,משימות!$C$7:$C$106,"&lt;&gt;",משימות!$E$7:$E$106,"הושלם")</f>
        <v>2</v>
      </c>
      <c r="G14" s="12" t="n">
        <f aca="false">D14-COUNTIFS(משימות!$B$7:$B$106,A14,משימות!$C$7:$C$106,"&lt;&gt;",משימות!$D$7:$D$106,"&lt;&gt;",משימות!$D$7:$D$106,"&lt;&gt;טרם נקבע")</f>
        <v>0</v>
      </c>
      <c r="H14" s="13"/>
    </row>
    <row r="15" customFormat="false" ht="28" hidden="false" customHeight="tru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28" hidden="false" customHeight="tru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32" hidden="false" customHeight="true" outlineLevel="0" collapsed="false">
      <c r="A17" s="16" t="s">
        <v>23</v>
      </c>
      <c r="B17" s="16" t="s">
        <v>24</v>
      </c>
      <c r="C17" s="16" t="s">
        <v>25</v>
      </c>
    </row>
    <row r="18" customFormat="false" ht="29" hidden="false" customHeight="true" outlineLevel="0" collapsed="false">
      <c r="A18" s="17" t="s">
        <v>26</v>
      </c>
      <c r="B18" s="17" t="s">
        <v>27</v>
      </c>
      <c r="C18" s="18" t="n">
        <v>0.5</v>
      </c>
    </row>
    <row r="19" customFormat="false" ht="29" hidden="false" customHeight="true" outlineLevel="0" collapsed="false">
      <c r="A19" s="19" t="s">
        <v>28</v>
      </c>
      <c r="B19" s="19" t="s">
        <v>27</v>
      </c>
      <c r="C19" s="20" t="n">
        <v>0.5</v>
      </c>
    </row>
    <row r="20" customFormat="false" ht="29" hidden="false" customHeight="true" outlineLevel="0" collapsed="false">
      <c r="A20" s="17" t="s">
        <v>29</v>
      </c>
      <c r="B20" s="17" t="s">
        <v>27</v>
      </c>
      <c r="C20" s="18" t="n">
        <v>0.5</v>
      </c>
    </row>
    <row r="21" customFormat="false" ht="29" hidden="false" customHeight="true" outlineLevel="0" collapsed="false">
      <c r="A21" s="19" t="s">
        <v>30</v>
      </c>
      <c r="B21" s="19" t="s">
        <v>27</v>
      </c>
      <c r="C21" s="20" t="n">
        <v>0.5</v>
      </c>
    </row>
    <row r="22" customFormat="false" ht="29" hidden="false" customHeight="true" outlineLevel="0" collapsed="false">
      <c r="A22" s="17" t="s">
        <v>31</v>
      </c>
      <c r="B22" s="17" t="s">
        <v>27</v>
      </c>
      <c r="C22" s="18" t="n">
        <v>0.5</v>
      </c>
    </row>
    <row r="23" customFormat="false" ht="29" hidden="false" customHeight="true" outlineLevel="0" collapsed="false">
      <c r="A23" s="19" t="s">
        <v>32</v>
      </c>
      <c r="B23" s="19" t="s">
        <v>27</v>
      </c>
      <c r="C23" s="20" t="n">
        <v>0.5</v>
      </c>
    </row>
    <row r="24" customFormat="false" ht="29" hidden="false" customHeight="true" outlineLevel="0" collapsed="false">
      <c r="A24" s="17" t="s">
        <v>33</v>
      </c>
      <c r="B24" s="17" t="s">
        <v>34</v>
      </c>
      <c r="C24" s="18" t="n">
        <v>1</v>
      </c>
    </row>
    <row r="25" customFormat="false" ht="29" hidden="false" customHeight="true" outlineLevel="0" collapsed="false">
      <c r="A25" s="19" t="s">
        <v>35</v>
      </c>
      <c r="B25" s="19" t="s">
        <v>27</v>
      </c>
      <c r="C25" s="20" t="n">
        <v>0.5</v>
      </c>
    </row>
    <row r="26" customFormat="false" ht="29" hidden="false" customHeight="true" outlineLevel="0" collapsed="false">
      <c r="A26" s="17" t="s">
        <v>36</v>
      </c>
      <c r="B26" s="17" t="s">
        <v>37</v>
      </c>
      <c r="C26" s="18" t="n">
        <v>0.25</v>
      </c>
    </row>
    <row r="27" customFormat="false" ht="29" hidden="false" customHeight="true" outlineLevel="0" collapsed="false">
      <c r="A27" s="19" t="s">
        <v>38</v>
      </c>
      <c r="B27" s="19" t="s">
        <v>39</v>
      </c>
      <c r="C27" s="20"/>
    </row>
    <row r="28" customFormat="false" ht="28" hidden="false" customHeight="true" outlineLevel="0" collapsed="false"/>
    <row r="29" customFormat="false" ht="28" hidden="false" customHeight="true" outlineLevel="0" collapsed="false"/>
    <row r="30" customFormat="false" ht="32" hidden="false" customHeight="true" outlineLevel="0" collapsed="false">
      <c r="A30" s="16" t="s">
        <v>40</v>
      </c>
      <c r="B30" s="16"/>
      <c r="C30" s="16"/>
      <c r="D30" s="16"/>
      <c r="E30" s="16"/>
      <c r="F30" s="16"/>
      <c r="G30" s="16"/>
      <c r="H30" s="16"/>
    </row>
    <row r="31" customFormat="false" ht="30" hidden="false" customHeight="true" outlineLevel="0" collapsed="false">
      <c r="A31" s="21" t="s">
        <v>41</v>
      </c>
      <c r="B31" s="21"/>
      <c r="C31" s="21"/>
      <c r="D31" s="21"/>
      <c r="E31" s="21"/>
      <c r="F31" s="21"/>
      <c r="G31" s="21"/>
      <c r="H31" s="21"/>
    </row>
    <row r="32" customFormat="false" ht="30" hidden="false" customHeight="true" outlineLevel="0" collapsed="false">
      <c r="A32" s="21" t="s">
        <v>42</v>
      </c>
      <c r="B32" s="21"/>
      <c r="C32" s="21"/>
      <c r="D32" s="21"/>
      <c r="E32" s="21"/>
      <c r="F32" s="21"/>
      <c r="G32" s="21"/>
      <c r="H32" s="21"/>
    </row>
    <row r="33" customFormat="false" ht="30" hidden="false" customHeight="true" outlineLevel="0" collapsed="false">
      <c r="A33" s="21" t="s">
        <v>43</v>
      </c>
      <c r="B33" s="21"/>
      <c r="C33" s="21"/>
      <c r="D33" s="21"/>
      <c r="E33" s="21"/>
      <c r="F33" s="21"/>
      <c r="G33" s="21"/>
      <c r="H33" s="21"/>
    </row>
    <row r="34" customFormat="false" ht="30" hidden="false" customHeight="true" outlineLevel="0" collapsed="false">
      <c r="A34" s="21" t="s">
        <v>44</v>
      </c>
      <c r="B34" s="21"/>
      <c r="C34" s="21"/>
      <c r="D34" s="21"/>
      <c r="E34" s="21"/>
      <c r="F34" s="21"/>
      <c r="G34" s="21"/>
      <c r="H34" s="21"/>
    </row>
    <row r="35" customFormat="false" ht="30" hidden="false" customHeight="true" outlineLevel="0" collapsed="false">
      <c r="A35" s="21" t="s">
        <v>45</v>
      </c>
      <c r="B35" s="21"/>
      <c r="C35" s="21"/>
      <c r="D35" s="21"/>
      <c r="E35" s="21"/>
      <c r="F35" s="21"/>
      <c r="G35" s="21"/>
      <c r="H35" s="21"/>
    </row>
    <row r="36" customFormat="false" ht="30" hidden="false" customHeight="true" outlineLevel="0" collapsed="false">
      <c r="A36" s="21" t="s">
        <v>46</v>
      </c>
      <c r="B36" s="21"/>
      <c r="C36" s="21"/>
      <c r="D36" s="21"/>
      <c r="E36" s="21"/>
      <c r="F36" s="21"/>
      <c r="G36" s="21"/>
      <c r="H36" s="21"/>
    </row>
    <row r="37" customFormat="false" ht="30" hidden="false" customHeight="true" outlineLevel="0" collapsed="false">
      <c r="A37" s="21" t="s">
        <v>47</v>
      </c>
      <c r="B37" s="21"/>
      <c r="C37" s="21"/>
      <c r="D37" s="21"/>
      <c r="E37" s="21"/>
      <c r="F37" s="21"/>
      <c r="G37" s="21"/>
      <c r="H37" s="21"/>
    </row>
  </sheetData>
  <mergeCells count="13">
    <mergeCell ref="A2:H2"/>
    <mergeCell ref="A3:H3"/>
    <mergeCell ref="A4:H4"/>
    <mergeCell ref="F6:H6"/>
    <mergeCell ref="F7:H7"/>
    <mergeCell ref="A30:H30"/>
    <mergeCell ref="A31:H31"/>
    <mergeCell ref="A32:H32"/>
    <mergeCell ref="A33:H33"/>
    <mergeCell ref="A34:H34"/>
    <mergeCell ref="A35:H35"/>
    <mergeCell ref="A36:H36"/>
    <mergeCell ref="A37:H37"/>
  </mergeCells>
  <dataValidations count="3">
    <dataValidation allowBlank="false" errorStyle="stop" operator="equal" showDropDown="false" showErrorMessage="false" showInputMessage="false" sqref="C11:C14" type="list">
      <formula1>"לא דווח,טרם התחיל,בעבודה,ממתין,חסום,הושלם,מוצע"</formula1>
      <formula2>0</formula2>
    </dataValidation>
    <dataValidation allowBlank="false" errorStyle="stop" operator="between" showDropDown="false" showErrorMessage="false" showInputMessage="false" sqref="B18:B27" type="list">
      <formula1>"סטודנט לתואר שני,דוקטורנט,פוסט־דוקטורנט,תלמיד תיכון"</formula1>
      <formula2>0</formula2>
    </dataValidation>
    <dataValidation allowBlank="false" errorStyle="stop" operator="between" showDropDown="false" showErrorMessage="false" showInputMessage="false" sqref="C18:C27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366BA8"/>
    <pageSetUpPr fitToPage="false"/>
  </sheetPr>
  <dimension ref="A1:J106"/>
  <sheetViews>
    <sheetView showFormulas="false" showGridLines="false" showRowColHeaders="true" showZeros="true" rightToLeft="true" tabSelected="tru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D24" activeCellId="0" sqref="D24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12.61"/>
    <col collapsed="false" customWidth="true" hidden="false" outlineLevel="0" max="2" min="2" style="0" width="30.28"/>
    <col collapsed="false" customWidth="true" hidden="false" outlineLevel="0" max="3" min="3" style="0" width="45.42"/>
    <col collapsed="false" customWidth="true" hidden="false" outlineLevel="0" max="4" min="4" style="0" width="22.7"/>
    <col collapsed="false" customWidth="true" hidden="false" outlineLevel="0" max="5" min="5" style="0" width="22.7"/>
    <col collapsed="false" customWidth="true" hidden="false" outlineLevel="0" max="6" min="6" style="0" width="21.44"/>
    <col collapsed="false" customWidth="true" hidden="false" outlineLevel="0" max="7" min="7" style="0" width="55.5"/>
    <col collapsed="false" customWidth="true" hidden="false" outlineLevel="0" max="9" min="8" style="0" width="25.24"/>
    <col collapsed="false" customWidth="true" hidden="false" outlineLevel="0" max="10" min="10" style="0" width="54.24"/>
  </cols>
  <sheetData>
    <row r="1" customFormat="false" ht="2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8" hidden="false" customHeight="true" outlineLevel="0" collapsed="false">
      <c r="A3" s="1" t="s">
        <v>49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28" hidden="false" customHeight="true" outlineLevel="0" collapsed="false">
      <c r="A4" s="1" t="s">
        <v>50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2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</row>
    <row r="6" customFormat="false" ht="32" hidden="false" customHeight="true" outlineLevel="0" collapsed="false">
      <c r="A6" s="4" t="s">
        <v>51</v>
      </c>
      <c r="B6" s="4" t="s">
        <v>52</v>
      </c>
      <c r="C6" s="4" t="s">
        <v>53</v>
      </c>
      <c r="D6" s="4" t="s">
        <v>54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60</v>
      </c>
      <c r="J6" s="4" t="s">
        <v>61</v>
      </c>
    </row>
    <row r="7" customFormat="false" ht="52" hidden="false" customHeight="true" outlineLevel="0" collapsed="false">
      <c r="A7" s="22" t="s">
        <v>62</v>
      </c>
      <c r="B7" s="22" t="s">
        <v>13</v>
      </c>
      <c r="C7" s="22" t="s">
        <v>63</v>
      </c>
      <c r="D7" s="23" t="s">
        <v>26</v>
      </c>
      <c r="E7" s="23" t="s">
        <v>64</v>
      </c>
      <c r="F7" s="24"/>
      <c r="G7" s="25" t="s">
        <v>65</v>
      </c>
      <c r="H7" s="25"/>
      <c r="I7" s="25" t="s">
        <v>66</v>
      </c>
      <c r="J7" s="25" t="s">
        <v>67</v>
      </c>
    </row>
    <row r="8" customFormat="false" ht="52" hidden="false" customHeight="true" outlineLevel="0" collapsed="false">
      <c r="A8" s="26" t="s">
        <v>68</v>
      </c>
      <c r="B8" s="26" t="s">
        <v>13</v>
      </c>
      <c r="C8" s="26" t="s">
        <v>69</v>
      </c>
      <c r="D8" s="27" t="s">
        <v>28</v>
      </c>
      <c r="E8" s="27" t="s">
        <v>15</v>
      </c>
      <c r="F8" s="28" t="n">
        <v>46328</v>
      </c>
      <c r="G8" s="26" t="s">
        <v>70</v>
      </c>
      <c r="H8" s="26" t="s">
        <v>62</v>
      </c>
      <c r="I8" s="26" t="s">
        <v>66</v>
      </c>
      <c r="J8" s="26"/>
    </row>
    <row r="9" customFormat="false" ht="52" hidden="false" customHeight="true" outlineLevel="0" collapsed="false">
      <c r="A9" s="26" t="s">
        <v>71</v>
      </c>
      <c r="B9" s="26" t="s">
        <v>13</v>
      </c>
      <c r="C9" s="26" t="s">
        <v>72</v>
      </c>
      <c r="D9" s="27" t="s">
        <v>21</v>
      </c>
      <c r="E9" s="27" t="s">
        <v>73</v>
      </c>
      <c r="F9" s="28" t="n">
        <v>46346</v>
      </c>
      <c r="G9" s="26" t="s">
        <v>74</v>
      </c>
      <c r="H9" s="26" t="s">
        <v>62</v>
      </c>
      <c r="I9" s="26" t="s">
        <v>75</v>
      </c>
      <c r="J9" s="26" t="s">
        <v>76</v>
      </c>
    </row>
    <row r="10" customFormat="false" ht="35" hidden="false" customHeight="true" outlineLevel="0" collapsed="false">
      <c r="A10" s="26"/>
      <c r="B10" s="26" t="s">
        <v>13</v>
      </c>
      <c r="C10" s="26"/>
      <c r="D10" s="27"/>
      <c r="E10" s="27"/>
      <c r="F10" s="28"/>
      <c r="G10" s="26"/>
      <c r="H10" s="26"/>
      <c r="I10" s="26"/>
      <c r="J10" s="26" t="s">
        <v>77</v>
      </c>
    </row>
    <row r="11" customFormat="false" ht="35" hidden="false" customHeight="true" outlineLevel="0" collapsed="false">
      <c r="A11" s="26"/>
      <c r="B11" s="26" t="s">
        <v>13</v>
      </c>
      <c r="C11" s="26"/>
      <c r="D11" s="27"/>
      <c r="E11" s="27"/>
      <c r="F11" s="28"/>
      <c r="G11" s="26"/>
      <c r="H11" s="26"/>
      <c r="I11" s="26"/>
      <c r="J11" s="26" t="s">
        <v>77</v>
      </c>
    </row>
    <row r="12" customFormat="false" ht="52" hidden="false" customHeight="true" outlineLevel="0" collapsed="false">
      <c r="A12" s="29" t="s">
        <v>78</v>
      </c>
      <c r="B12" s="29" t="s">
        <v>16</v>
      </c>
      <c r="C12" s="29" t="s">
        <v>79</v>
      </c>
      <c r="D12" s="23" t="s">
        <v>30</v>
      </c>
      <c r="E12" s="23" t="s">
        <v>64</v>
      </c>
      <c r="F12" s="24"/>
      <c r="G12" s="30" t="s">
        <v>80</v>
      </c>
      <c r="H12" s="30"/>
      <c r="I12" s="30" t="s">
        <v>66</v>
      </c>
      <c r="J12" s="30" t="s">
        <v>81</v>
      </c>
    </row>
    <row r="13" customFormat="false" ht="52" hidden="false" customHeight="true" outlineLevel="0" collapsed="false">
      <c r="A13" s="31" t="s">
        <v>82</v>
      </c>
      <c r="B13" s="31" t="s">
        <v>16</v>
      </c>
      <c r="C13" s="31" t="s">
        <v>83</v>
      </c>
      <c r="D13" s="27" t="s">
        <v>30</v>
      </c>
      <c r="E13" s="27" t="s">
        <v>84</v>
      </c>
      <c r="F13" s="28" t="n">
        <v>46340</v>
      </c>
      <c r="G13" s="31" t="s">
        <v>85</v>
      </c>
      <c r="H13" s="31" t="s">
        <v>78</v>
      </c>
      <c r="I13" s="31" t="s">
        <v>66</v>
      </c>
      <c r="J13" s="31" t="s">
        <v>86</v>
      </c>
    </row>
    <row r="14" customFormat="false" ht="52" hidden="false" customHeight="true" outlineLevel="0" collapsed="false">
      <c r="A14" s="31" t="s">
        <v>87</v>
      </c>
      <c r="B14" s="31" t="s">
        <v>16</v>
      </c>
      <c r="C14" s="31" t="s">
        <v>88</v>
      </c>
      <c r="D14" s="27" t="s">
        <v>21</v>
      </c>
      <c r="E14" s="27" t="s">
        <v>73</v>
      </c>
      <c r="F14" s="28"/>
      <c r="G14" s="31" t="s">
        <v>89</v>
      </c>
      <c r="H14" s="31"/>
      <c r="I14" s="31" t="s">
        <v>66</v>
      </c>
      <c r="J14" s="31"/>
    </row>
    <row r="15" customFormat="false" ht="35" hidden="false" customHeight="true" outlineLevel="0" collapsed="false">
      <c r="A15" s="31"/>
      <c r="B15" s="31" t="s">
        <v>16</v>
      </c>
      <c r="C15" s="31"/>
      <c r="D15" s="27"/>
      <c r="E15" s="27"/>
      <c r="F15" s="28"/>
      <c r="G15" s="31"/>
      <c r="H15" s="31"/>
      <c r="I15" s="31"/>
      <c r="J15" s="31" t="s">
        <v>77</v>
      </c>
    </row>
    <row r="16" customFormat="false" ht="35" hidden="false" customHeight="true" outlineLevel="0" collapsed="false">
      <c r="A16" s="32"/>
      <c r="B16" s="32" t="s">
        <v>16</v>
      </c>
      <c r="C16" s="32"/>
      <c r="D16" s="27"/>
      <c r="E16" s="27"/>
      <c r="F16" s="28"/>
      <c r="G16" s="31"/>
      <c r="H16" s="31"/>
      <c r="I16" s="31"/>
      <c r="J16" s="31" t="s">
        <v>77</v>
      </c>
    </row>
    <row r="17" customFormat="false" ht="52" hidden="false" customHeight="true" outlineLevel="0" collapsed="false">
      <c r="A17" s="33" t="s">
        <v>90</v>
      </c>
      <c r="B17" s="33" t="s">
        <v>18</v>
      </c>
      <c r="C17" s="33" t="s">
        <v>91</v>
      </c>
      <c r="D17" s="23" t="s">
        <v>36</v>
      </c>
      <c r="E17" s="23" t="s">
        <v>15</v>
      </c>
      <c r="F17" s="24" t="n">
        <v>46340</v>
      </c>
      <c r="G17" s="33" t="s">
        <v>92</v>
      </c>
      <c r="H17" s="33"/>
      <c r="I17" s="33" t="s">
        <v>66</v>
      </c>
      <c r="J17" s="33"/>
    </row>
    <row r="18" customFormat="false" ht="52" hidden="false" customHeight="true" outlineLevel="0" collapsed="false">
      <c r="A18" s="34" t="s">
        <v>93</v>
      </c>
      <c r="B18" s="34" t="s">
        <v>18</v>
      </c>
      <c r="C18" s="34" t="s">
        <v>94</v>
      </c>
      <c r="D18" s="27" t="s">
        <v>33</v>
      </c>
      <c r="E18" s="27" t="s">
        <v>95</v>
      </c>
      <c r="F18" s="28" t="n">
        <v>46340</v>
      </c>
      <c r="G18" s="34" t="s">
        <v>96</v>
      </c>
      <c r="H18" s="34" t="s">
        <v>97</v>
      </c>
      <c r="I18" s="34" t="s">
        <v>66</v>
      </c>
      <c r="J18" s="34" t="s">
        <v>98</v>
      </c>
    </row>
    <row r="19" customFormat="false" ht="52" hidden="false" customHeight="true" outlineLevel="0" collapsed="false">
      <c r="A19" s="34" t="s">
        <v>99</v>
      </c>
      <c r="B19" s="34" t="s">
        <v>18</v>
      </c>
      <c r="C19" s="34" t="s">
        <v>100</v>
      </c>
      <c r="D19" s="27" t="s">
        <v>101</v>
      </c>
      <c r="E19" s="27" t="s">
        <v>73</v>
      </c>
      <c r="F19" s="28" t="n">
        <v>46346</v>
      </c>
      <c r="G19" s="34" t="s">
        <v>102</v>
      </c>
      <c r="H19" s="34" t="s">
        <v>103</v>
      </c>
      <c r="I19" s="34" t="s">
        <v>104</v>
      </c>
      <c r="J19" s="34" t="s">
        <v>105</v>
      </c>
    </row>
    <row r="20" customFormat="false" ht="52" hidden="false" customHeight="true" outlineLevel="0" collapsed="false">
      <c r="A20" s="34" t="s">
        <v>106</v>
      </c>
      <c r="B20" s="34" t="s">
        <v>18</v>
      </c>
      <c r="C20" s="34" t="s">
        <v>107</v>
      </c>
      <c r="D20" s="27" t="s">
        <v>33</v>
      </c>
      <c r="E20" s="27" t="s">
        <v>73</v>
      </c>
      <c r="F20" s="28" t="n">
        <v>46328</v>
      </c>
      <c r="G20" s="34" t="s">
        <v>108</v>
      </c>
      <c r="H20" s="34"/>
      <c r="I20" s="34" t="s">
        <v>66</v>
      </c>
      <c r="J20" s="34"/>
    </row>
    <row r="21" customFormat="false" ht="52" hidden="false" customHeight="true" outlineLevel="0" collapsed="false">
      <c r="A21" s="34" t="s">
        <v>109</v>
      </c>
      <c r="B21" s="34" t="s">
        <v>18</v>
      </c>
      <c r="C21" s="34" t="s">
        <v>110</v>
      </c>
      <c r="D21" s="27" t="s">
        <v>36</v>
      </c>
      <c r="E21" s="27" t="s">
        <v>64</v>
      </c>
      <c r="F21" s="28"/>
      <c r="G21" s="34" t="s">
        <v>111</v>
      </c>
      <c r="H21" s="34"/>
      <c r="I21" s="34" t="s">
        <v>66</v>
      </c>
      <c r="J21" s="34"/>
    </row>
    <row r="22" customFormat="false" ht="52" hidden="false" customHeight="true" outlineLevel="0" collapsed="false">
      <c r="A22" s="35" t="s">
        <v>112</v>
      </c>
      <c r="B22" s="35" t="s">
        <v>18</v>
      </c>
      <c r="C22" s="35" t="s">
        <v>113</v>
      </c>
      <c r="D22" s="27" t="s">
        <v>33</v>
      </c>
      <c r="E22" s="27" t="s">
        <v>64</v>
      </c>
      <c r="F22" s="28"/>
      <c r="G22" s="34" t="s">
        <v>114</v>
      </c>
      <c r="H22" s="34"/>
      <c r="I22" s="34" t="s">
        <v>66</v>
      </c>
      <c r="J22" s="34"/>
    </row>
    <row r="23" customFormat="false" ht="52" hidden="false" customHeight="true" outlineLevel="0" collapsed="false">
      <c r="A23" s="34" t="s">
        <v>115</v>
      </c>
      <c r="B23" s="34" t="s">
        <v>18</v>
      </c>
      <c r="C23" s="34" t="s">
        <v>116</v>
      </c>
      <c r="D23" s="27" t="s">
        <v>38</v>
      </c>
      <c r="E23" s="27" t="s">
        <v>73</v>
      </c>
      <c r="F23" s="28"/>
      <c r="G23" s="34" t="s">
        <v>117</v>
      </c>
      <c r="H23" s="34"/>
      <c r="I23" s="34" t="s">
        <v>66</v>
      </c>
      <c r="J23" s="34"/>
    </row>
    <row r="24" customFormat="false" ht="35" hidden="false" customHeight="true" outlineLevel="0" collapsed="false">
      <c r="A24" s="34"/>
      <c r="B24" s="34" t="s">
        <v>18</v>
      </c>
      <c r="C24" s="34"/>
      <c r="D24" s="27"/>
      <c r="E24" s="27"/>
      <c r="F24" s="28"/>
      <c r="G24" s="34"/>
      <c r="H24" s="34"/>
      <c r="I24" s="34"/>
      <c r="J24" s="34" t="s">
        <v>77</v>
      </c>
    </row>
    <row r="25" customFormat="false" ht="35" hidden="false" customHeight="true" outlineLevel="0" collapsed="false">
      <c r="A25" s="34"/>
      <c r="B25" s="34" t="s">
        <v>18</v>
      </c>
      <c r="C25" s="34"/>
      <c r="D25" s="27"/>
      <c r="E25" s="27"/>
      <c r="F25" s="28"/>
      <c r="G25" s="34"/>
      <c r="H25" s="34"/>
      <c r="I25" s="34"/>
      <c r="J25" s="34" t="s">
        <v>77</v>
      </c>
    </row>
    <row r="26" customFormat="false" ht="52" hidden="false" customHeight="true" outlineLevel="0" collapsed="false">
      <c r="A26" s="36" t="s">
        <v>118</v>
      </c>
      <c r="B26" s="36" t="s">
        <v>20</v>
      </c>
      <c r="C26" s="36" t="s">
        <v>119</v>
      </c>
      <c r="D26" s="23" t="s">
        <v>36</v>
      </c>
      <c r="E26" s="23" t="s">
        <v>73</v>
      </c>
      <c r="F26" s="24"/>
      <c r="G26" s="36" t="s">
        <v>120</v>
      </c>
      <c r="H26" s="36" t="s">
        <v>121</v>
      </c>
      <c r="I26" s="36" t="s">
        <v>122</v>
      </c>
      <c r="J26" s="36" t="s">
        <v>123</v>
      </c>
    </row>
    <row r="27" customFormat="false" ht="52" hidden="false" customHeight="true" outlineLevel="0" collapsed="false">
      <c r="A27" s="37" t="s">
        <v>124</v>
      </c>
      <c r="B27" s="37" t="s">
        <v>20</v>
      </c>
      <c r="C27" s="37" t="s">
        <v>125</v>
      </c>
      <c r="D27" s="27" t="s">
        <v>33</v>
      </c>
      <c r="E27" s="27" t="s">
        <v>73</v>
      </c>
      <c r="F27" s="28"/>
      <c r="G27" s="37" t="s">
        <v>126</v>
      </c>
      <c r="H27" s="37" t="s">
        <v>118</v>
      </c>
      <c r="I27" s="37" t="s">
        <v>104</v>
      </c>
      <c r="J27" s="37" t="s">
        <v>127</v>
      </c>
    </row>
    <row r="28" customFormat="false" ht="35" hidden="false" customHeight="true" outlineLevel="0" collapsed="false">
      <c r="A28" s="37"/>
      <c r="B28" s="37" t="s">
        <v>20</v>
      </c>
      <c r="C28" s="37"/>
      <c r="D28" s="27"/>
      <c r="E28" s="27"/>
      <c r="F28" s="28"/>
      <c r="G28" s="37"/>
      <c r="H28" s="37"/>
      <c r="I28" s="37"/>
      <c r="J28" s="37" t="s">
        <v>77</v>
      </c>
    </row>
    <row r="29" customFormat="false" ht="35" hidden="false" customHeight="true" outlineLevel="0" collapsed="false">
      <c r="A29" s="37"/>
      <c r="B29" s="37" t="s">
        <v>20</v>
      </c>
      <c r="C29" s="37"/>
      <c r="D29" s="27"/>
      <c r="E29" s="27"/>
      <c r="F29" s="28"/>
      <c r="G29" s="37"/>
      <c r="H29" s="37"/>
      <c r="I29" s="37"/>
      <c r="J29" s="37" t="s">
        <v>77</v>
      </c>
    </row>
    <row r="30" customFormat="false" ht="48" hidden="false" customHeight="true" outlineLevel="0" collapsed="false">
      <c r="A30" s="38"/>
      <c r="B30" s="39"/>
      <c r="C30" s="39"/>
      <c r="D30" s="8"/>
      <c r="E30" s="8"/>
      <c r="F30" s="40"/>
      <c r="G30" s="39"/>
      <c r="H30" s="39"/>
      <c r="I30" s="39"/>
      <c r="J30" s="39"/>
    </row>
    <row r="31" customFormat="false" ht="48" hidden="false" customHeight="true" outlineLevel="0" collapsed="false">
      <c r="A31" s="38"/>
      <c r="B31" s="39"/>
      <c r="C31" s="39"/>
      <c r="D31" s="8"/>
      <c r="E31" s="8"/>
      <c r="F31" s="40"/>
      <c r="G31" s="39"/>
      <c r="H31" s="39"/>
      <c r="I31" s="39"/>
      <c r="J31" s="39"/>
    </row>
    <row r="32" customFormat="false" ht="48" hidden="false" customHeight="true" outlineLevel="0" collapsed="false">
      <c r="A32" s="38"/>
      <c r="B32" s="39"/>
      <c r="C32" s="39"/>
      <c r="D32" s="8"/>
      <c r="E32" s="8"/>
      <c r="F32" s="40"/>
      <c r="G32" s="39"/>
      <c r="H32" s="39"/>
      <c r="I32" s="39"/>
      <c r="J32" s="39"/>
    </row>
    <row r="33" customFormat="false" ht="48" hidden="false" customHeight="true" outlineLevel="0" collapsed="false">
      <c r="A33" s="38"/>
      <c r="B33" s="39"/>
      <c r="C33" s="39"/>
      <c r="D33" s="8"/>
      <c r="E33" s="8"/>
      <c r="F33" s="40"/>
      <c r="G33" s="39"/>
      <c r="H33" s="39"/>
      <c r="I33" s="39"/>
      <c r="J33" s="39"/>
    </row>
    <row r="34" customFormat="false" ht="48" hidden="false" customHeight="true" outlineLevel="0" collapsed="false">
      <c r="A34" s="38"/>
      <c r="B34" s="39"/>
      <c r="C34" s="39"/>
      <c r="D34" s="8"/>
      <c r="E34" s="8"/>
      <c r="F34" s="40"/>
      <c r="G34" s="39"/>
      <c r="H34" s="39"/>
      <c r="I34" s="39"/>
      <c r="J34" s="39"/>
    </row>
    <row r="35" customFormat="false" ht="48" hidden="false" customHeight="true" outlineLevel="0" collapsed="false">
      <c r="A35" s="38"/>
      <c r="B35" s="39"/>
      <c r="C35" s="39"/>
      <c r="D35" s="8"/>
      <c r="E35" s="8"/>
      <c r="F35" s="40"/>
      <c r="G35" s="39"/>
      <c r="H35" s="39"/>
      <c r="I35" s="39"/>
      <c r="J35" s="39"/>
    </row>
    <row r="36" customFormat="false" ht="48" hidden="false" customHeight="true" outlineLevel="0" collapsed="false">
      <c r="A36" s="38"/>
      <c r="B36" s="39"/>
      <c r="C36" s="39"/>
      <c r="D36" s="8"/>
      <c r="E36" s="8"/>
      <c r="F36" s="40"/>
      <c r="G36" s="39"/>
      <c r="H36" s="39"/>
      <c r="I36" s="39"/>
      <c r="J36" s="39"/>
    </row>
    <row r="37" customFormat="false" ht="48" hidden="false" customHeight="true" outlineLevel="0" collapsed="false">
      <c r="A37" s="38"/>
      <c r="B37" s="39"/>
      <c r="C37" s="39"/>
      <c r="D37" s="8"/>
      <c r="E37" s="8"/>
      <c r="F37" s="40"/>
      <c r="G37" s="39"/>
      <c r="H37" s="39"/>
      <c r="I37" s="39"/>
      <c r="J37" s="39"/>
    </row>
    <row r="38" customFormat="false" ht="48" hidden="false" customHeight="true" outlineLevel="0" collapsed="false">
      <c r="A38" s="38"/>
      <c r="B38" s="39"/>
      <c r="C38" s="39"/>
      <c r="D38" s="8"/>
      <c r="E38" s="8"/>
      <c r="F38" s="40"/>
      <c r="G38" s="39"/>
      <c r="H38" s="39"/>
      <c r="I38" s="39"/>
      <c r="J38" s="39"/>
    </row>
    <row r="39" customFormat="false" ht="48" hidden="false" customHeight="true" outlineLevel="0" collapsed="false">
      <c r="A39" s="38"/>
      <c r="B39" s="39"/>
      <c r="C39" s="39"/>
      <c r="D39" s="8"/>
      <c r="E39" s="8"/>
      <c r="F39" s="40"/>
      <c r="G39" s="39"/>
      <c r="H39" s="39"/>
      <c r="I39" s="39"/>
      <c r="J39" s="39"/>
    </row>
    <row r="40" customFormat="false" ht="48" hidden="false" customHeight="true" outlineLevel="0" collapsed="false">
      <c r="A40" s="38"/>
      <c r="B40" s="39"/>
      <c r="C40" s="39"/>
      <c r="D40" s="8"/>
      <c r="E40" s="8"/>
      <c r="F40" s="40"/>
      <c r="G40" s="39"/>
      <c r="H40" s="39"/>
      <c r="I40" s="39"/>
      <c r="J40" s="39"/>
    </row>
    <row r="41" customFormat="false" ht="48" hidden="false" customHeight="true" outlineLevel="0" collapsed="false">
      <c r="A41" s="38"/>
      <c r="B41" s="39"/>
      <c r="C41" s="39"/>
      <c r="D41" s="8"/>
      <c r="E41" s="8"/>
      <c r="F41" s="40"/>
      <c r="G41" s="39"/>
      <c r="H41" s="39"/>
      <c r="I41" s="39"/>
      <c r="J41" s="39"/>
    </row>
    <row r="42" customFormat="false" ht="48" hidden="false" customHeight="true" outlineLevel="0" collapsed="false">
      <c r="A42" s="38"/>
      <c r="B42" s="39"/>
      <c r="C42" s="39"/>
      <c r="D42" s="8"/>
      <c r="E42" s="8"/>
      <c r="F42" s="40"/>
      <c r="G42" s="39"/>
      <c r="H42" s="39"/>
      <c r="I42" s="39"/>
      <c r="J42" s="39"/>
    </row>
    <row r="43" customFormat="false" ht="48" hidden="false" customHeight="true" outlineLevel="0" collapsed="false">
      <c r="A43" s="38"/>
      <c r="B43" s="39"/>
      <c r="C43" s="39"/>
      <c r="D43" s="8"/>
      <c r="E43" s="8"/>
      <c r="F43" s="40"/>
      <c r="G43" s="39"/>
      <c r="H43" s="39"/>
      <c r="I43" s="39"/>
      <c r="J43" s="39"/>
    </row>
    <row r="44" customFormat="false" ht="48" hidden="false" customHeight="true" outlineLevel="0" collapsed="false">
      <c r="A44" s="38"/>
      <c r="B44" s="39"/>
      <c r="C44" s="39"/>
      <c r="D44" s="8"/>
      <c r="E44" s="8"/>
      <c r="F44" s="40"/>
      <c r="G44" s="39"/>
      <c r="H44" s="39"/>
      <c r="I44" s="39"/>
      <c r="J44" s="39"/>
    </row>
    <row r="45" customFormat="false" ht="48" hidden="false" customHeight="true" outlineLevel="0" collapsed="false">
      <c r="A45" s="38"/>
      <c r="B45" s="39"/>
      <c r="C45" s="39"/>
      <c r="D45" s="8"/>
      <c r="E45" s="8"/>
      <c r="F45" s="40"/>
      <c r="G45" s="39"/>
      <c r="H45" s="39"/>
      <c r="I45" s="39"/>
      <c r="J45" s="39"/>
    </row>
    <row r="46" customFormat="false" ht="48" hidden="false" customHeight="true" outlineLevel="0" collapsed="false">
      <c r="A46" s="38"/>
      <c r="B46" s="39"/>
      <c r="C46" s="39"/>
      <c r="D46" s="8"/>
      <c r="E46" s="8"/>
      <c r="F46" s="40"/>
      <c r="G46" s="39"/>
      <c r="H46" s="39"/>
      <c r="I46" s="39"/>
      <c r="J46" s="39"/>
    </row>
    <row r="47" customFormat="false" ht="48" hidden="false" customHeight="true" outlineLevel="0" collapsed="false">
      <c r="A47" s="38"/>
      <c r="B47" s="39"/>
      <c r="C47" s="39"/>
      <c r="D47" s="8"/>
      <c r="E47" s="8"/>
      <c r="F47" s="40"/>
      <c r="G47" s="39"/>
      <c r="H47" s="39"/>
      <c r="I47" s="39"/>
      <c r="J47" s="39"/>
    </row>
    <row r="48" customFormat="false" ht="48" hidden="false" customHeight="true" outlineLevel="0" collapsed="false">
      <c r="A48" s="38"/>
      <c r="B48" s="39"/>
      <c r="C48" s="39"/>
      <c r="D48" s="8"/>
      <c r="E48" s="8"/>
      <c r="F48" s="40"/>
      <c r="G48" s="39"/>
      <c r="H48" s="39"/>
      <c r="I48" s="39"/>
      <c r="J48" s="39"/>
    </row>
    <row r="49" customFormat="false" ht="48" hidden="false" customHeight="true" outlineLevel="0" collapsed="false">
      <c r="A49" s="38"/>
      <c r="B49" s="39"/>
      <c r="C49" s="39"/>
      <c r="D49" s="8"/>
      <c r="E49" s="8"/>
      <c r="F49" s="40"/>
      <c r="G49" s="39"/>
      <c r="H49" s="39"/>
      <c r="I49" s="39"/>
      <c r="J49" s="39"/>
    </row>
    <row r="50" customFormat="false" ht="48" hidden="false" customHeight="true" outlineLevel="0" collapsed="false">
      <c r="A50" s="38"/>
      <c r="B50" s="39"/>
      <c r="C50" s="39"/>
      <c r="D50" s="8"/>
      <c r="E50" s="8"/>
      <c r="F50" s="40"/>
      <c r="G50" s="39"/>
      <c r="H50" s="39"/>
      <c r="I50" s="39"/>
      <c r="J50" s="39"/>
    </row>
    <row r="51" customFormat="false" ht="48" hidden="false" customHeight="true" outlineLevel="0" collapsed="false">
      <c r="A51" s="38"/>
      <c r="B51" s="39"/>
      <c r="C51" s="39"/>
      <c r="D51" s="8"/>
      <c r="E51" s="8"/>
      <c r="F51" s="40"/>
      <c r="G51" s="39"/>
      <c r="H51" s="39"/>
      <c r="I51" s="39"/>
      <c r="J51" s="39"/>
    </row>
    <row r="52" customFormat="false" ht="48" hidden="false" customHeight="true" outlineLevel="0" collapsed="false">
      <c r="A52" s="38"/>
      <c r="B52" s="39"/>
      <c r="C52" s="39"/>
      <c r="D52" s="8"/>
      <c r="E52" s="8"/>
      <c r="F52" s="40"/>
      <c r="G52" s="39"/>
      <c r="H52" s="39"/>
      <c r="I52" s="39"/>
      <c r="J52" s="39"/>
    </row>
    <row r="53" customFormat="false" ht="48" hidden="false" customHeight="true" outlineLevel="0" collapsed="false">
      <c r="A53" s="38"/>
      <c r="B53" s="39"/>
      <c r="C53" s="39"/>
      <c r="D53" s="8"/>
      <c r="E53" s="8"/>
      <c r="F53" s="40"/>
      <c r="G53" s="39"/>
      <c r="H53" s="39"/>
      <c r="I53" s="39"/>
      <c r="J53" s="39"/>
    </row>
    <row r="54" customFormat="false" ht="48" hidden="false" customHeight="true" outlineLevel="0" collapsed="false">
      <c r="A54" s="38"/>
      <c r="B54" s="39"/>
      <c r="C54" s="39"/>
      <c r="D54" s="8"/>
      <c r="E54" s="8"/>
      <c r="F54" s="40"/>
      <c r="G54" s="39"/>
      <c r="H54" s="39"/>
      <c r="I54" s="39"/>
      <c r="J54" s="39"/>
    </row>
    <row r="55" customFormat="false" ht="48" hidden="false" customHeight="true" outlineLevel="0" collapsed="false">
      <c r="A55" s="38"/>
      <c r="B55" s="39"/>
      <c r="C55" s="39"/>
      <c r="D55" s="8"/>
      <c r="E55" s="8"/>
      <c r="F55" s="40"/>
      <c r="G55" s="39"/>
      <c r="H55" s="39"/>
      <c r="I55" s="39"/>
      <c r="J55" s="39"/>
    </row>
    <row r="56" customFormat="false" ht="48" hidden="false" customHeight="true" outlineLevel="0" collapsed="false">
      <c r="A56" s="38"/>
      <c r="B56" s="39"/>
      <c r="C56" s="39"/>
      <c r="D56" s="8"/>
      <c r="E56" s="8"/>
      <c r="F56" s="40"/>
      <c r="G56" s="39"/>
      <c r="H56" s="39"/>
      <c r="I56" s="39"/>
      <c r="J56" s="39"/>
    </row>
    <row r="57" customFormat="false" ht="48" hidden="false" customHeight="true" outlineLevel="0" collapsed="false">
      <c r="A57" s="38"/>
      <c r="B57" s="39"/>
      <c r="C57" s="39"/>
      <c r="D57" s="8"/>
      <c r="E57" s="8"/>
      <c r="F57" s="40"/>
      <c r="G57" s="39"/>
      <c r="H57" s="39"/>
      <c r="I57" s="39"/>
      <c r="J57" s="39"/>
    </row>
    <row r="58" customFormat="false" ht="48" hidden="false" customHeight="true" outlineLevel="0" collapsed="false">
      <c r="A58" s="38"/>
      <c r="B58" s="39"/>
      <c r="C58" s="39"/>
      <c r="D58" s="8"/>
      <c r="E58" s="8"/>
      <c r="F58" s="40"/>
      <c r="G58" s="39"/>
      <c r="H58" s="39"/>
      <c r="I58" s="39"/>
      <c r="J58" s="39"/>
    </row>
    <row r="59" customFormat="false" ht="48" hidden="false" customHeight="true" outlineLevel="0" collapsed="false">
      <c r="A59" s="38"/>
      <c r="B59" s="39"/>
      <c r="C59" s="39"/>
      <c r="D59" s="8"/>
      <c r="E59" s="8"/>
      <c r="F59" s="40"/>
      <c r="G59" s="39"/>
      <c r="H59" s="39"/>
      <c r="I59" s="39"/>
      <c r="J59" s="39"/>
    </row>
    <row r="60" customFormat="false" ht="48" hidden="false" customHeight="true" outlineLevel="0" collapsed="false">
      <c r="A60" s="38"/>
      <c r="B60" s="39"/>
      <c r="C60" s="39"/>
      <c r="D60" s="8"/>
      <c r="E60" s="8"/>
      <c r="F60" s="40"/>
      <c r="G60" s="39"/>
      <c r="H60" s="39"/>
      <c r="I60" s="39"/>
      <c r="J60" s="39"/>
    </row>
    <row r="61" customFormat="false" ht="48" hidden="false" customHeight="true" outlineLevel="0" collapsed="false">
      <c r="A61" s="38"/>
      <c r="B61" s="39"/>
      <c r="C61" s="39"/>
      <c r="D61" s="8"/>
      <c r="E61" s="8"/>
      <c r="F61" s="40"/>
      <c r="G61" s="39"/>
      <c r="H61" s="39"/>
      <c r="I61" s="39"/>
      <c r="J61" s="39"/>
    </row>
    <row r="62" customFormat="false" ht="48" hidden="false" customHeight="true" outlineLevel="0" collapsed="false">
      <c r="A62" s="38"/>
      <c r="B62" s="39"/>
      <c r="C62" s="39"/>
      <c r="D62" s="8"/>
      <c r="E62" s="8"/>
      <c r="F62" s="40"/>
      <c r="G62" s="39"/>
      <c r="H62" s="39"/>
      <c r="I62" s="39"/>
      <c r="J62" s="39"/>
    </row>
    <row r="63" customFormat="false" ht="48" hidden="false" customHeight="true" outlineLevel="0" collapsed="false">
      <c r="A63" s="38"/>
      <c r="B63" s="39"/>
      <c r="C63" s="39"/>
      <c r="D63" s="8"/>
      <c r="E63" s="8"/>
      <c r="F63" s="40"/>
      <c r="G63" s="39"/>
      <c r="H63" s="39"/>
      <c r="I63" s="39"/>
      <c r="J63" s="39"/>
    </row>
    <row r="64" customFormat="false" ht="48" hidden="false" customHeight="true" outlineLevel="0" collapsed="false">
      <c r="A64" s="38"/>
      <c r="B64" s="39"/>
      <c r="C64" s="39"/>
      <c r="D64" s="8"/>
      <c r="E64" s="8"/>
      <c r="F64" s="40"/>
      <c r="G64" s="39"/>
      <c r="H64" s="39"/>
      <c r="I64" s="39"/>
      <c r="J64" s="39"/>
    </row>
    <row r="65" customFormat="false" ht="48" hidden="false" customHeight="true" outlineLevel="0" collapsed="false">
      <c r="A65" s="38"/>
      <c r="B65" s="39"/>
      <c r="C65" s="39"/>
      <c r="D65" s="8"/>
      <c r="E65" s="8"/>
      <c r="F65" s="40"/>
      <c r="G65" s="39"/>
      <c r="H65" s="39"/>
      <c r="I65" s="39"/>
      <c r="J65" s="39"/>
    </row>
    <row r="66" customFormat="false" ht="48" hidden="false" customHeight="true" outlineLevel="0" collapsed="false">
      <c r="A66" s="38"/>
      <c r="B66" s="39"/>
      <c r="C66" s="39"/>
      <c r="D66" s="8"/>
      <c r="E66" s="8"/>
      <c r="F66" s="40"/>
      <c r="G66" s="39"/>
      <c r="H66" s="39"/>
      <c r="I66" s="39"/>
      <c r="J66" s="39"/>
    </row>
    <row r="67" customFormat="false" ht="48" hidden="false" customHeight="true" outlineLevel="0" collapsed="false">
      <c r="A67" s="38"/>
      <c r="B67" s="39"/>
      <c r="C67" s="39"/>
      <c r="D67" s="8"/>
      <c r="E67" s="8"/>
      <c r="F67" s="40"/>
      <c r="G67" s="39"/>
      <c r="H67" s="39"/>
      <c r="I67" s="39"/>
      <c r="J67" s="39"/>
    </row>
    <row r="68" customFormat="false" ht="48" hidden="false" customHeight="true" outlineLevel="0" collapsed="false">
      <c r="A68" s="38"/>
      <c r="B68" s="39"/>
      <c r="C68" s="39"/>
      <c r="D68" s="8"/>
      <c r="E68" s="8"/>
      <c r="F68" s="40"/>
      <c r="G68" s="39"/>
      <c r="H68" s="39"/>
      <c r="I68" s="39"/>
      <c r="J68" s="39"/>
    </row>
    <row r="69" customFormat="false" ht="48" hidden="false" customHeight="true" outlineLevel="0" collapsed="false">
      <c r="A69" s="38"/>
      <c r="B69" s="39"/>
      <c r="C69" s="39"/>
      <c r="D69" s="8"/>
      <c r="E69" s="8"/>
      <c r="F69" s="40"/>
      <c r="G69" s="39"/>
      <c r="H69" s="39"/>
      <c r="I69" s="39"/>
      <c r="J69" s="39"/>
    </row>
    <row r="70" customFormat="false" ht="48" hidden="false" customHeight="true" outlineLevel="0" collapsed="false">
      <c r="A70" s="38"/>
      <c r="B70" s="39"/>
      <c r="C70" s="39"/>
      <c r="D70" s="8"/>
      <c r="E70" s="8"/>
      <c r="F70" s="40"/>
      <c r="G70" s="39"/>
      <c r="H70" s="39"/>
      <c r="I70" s="39"/>
      <c r="J70" s="39"/>
    </row>
    <row r="71" customFormat="false" ht="48" hidden="false" customHeight="true" outlineLevel="0" collapsed="false">
      <c r="A71" s="38"/>
      <c r="B71" s="39"/>
      <c r="C71" s="39"/>
      <c r="D71" s="8"/>
      <c r="E71" s="8"/>
      <c r="F71" s="40"/>
      <c r="G71" s="39"/>
      <c r="H71" s="39"/>
      <c r="I71" s="39"/>
      <c r="J71" s="39"/>
    </row>
    <row r="72" customFormat="false" ht="48" hidden="false" customHeight="true" outlineLevel="0" collapsed="false">
      <c r="A72" s="38"/>
      <c r="B72" s="39"/>
      <c r="C72" s="39"/>
      <c r="D72" s="8"/>
      <c r="E72" s="8"/>
      <c r="F72" s="40"/>
      <c r="G72" s="39"/>
      <c r="H72" s="39"/>
      <c r="I72" s="39"/>
      <c r="J72" s="39"/>
    </row>
    <row r="73" customFormat="false" ht="48" hidden="false" customHeight="true" outlineLevel="0" collapsed="false">
      <c r="A73" s="38"/>
      <c r="B73" s="39"/>
      <c r="C73" s="39"/>
      <c r="D73" s="8"/>
      <c r="E73" s="8"/>
      <c r="F73" s="40"/>
      <c r="G73" s="39"/>
      <c r="H73" s="39"/>
      <c r="I73" s="39"/>
      <c r="J73" s="39"/>
    </row>
    <row r="74" customFormat="false" ht="48" hidden="false" customHeight="true" outlineLevel="0" collapsed="false">
      <c r="A74" s="38"/>
      <c r="B74" s="39"/>
      <c r="C74" s="39"/>
      <c r="D74" s="8"/>
      <c r="E74" s="8"/>
      <c r="F74" s="40"/>
      <c r="G74" s="39"/>
      <c r="H74" s="39"/>
      <c r="I74" s="39"/>
      <c r="J74" s="39"/>
    </row>
    <row r="75" customFormat="false" ht="48" hidden="false" customHeight="true" outlineLevel="0" collapsed="false">
      <c r="A75" s="38"/>
      <c r="B75" s="39"/>
      <c r="C75" s="39"/>
      <c r="D75" s="8"/>
      <c r="E75" s="8"/>
      <c r="F75" s="40"/>
      <c r="G75" s="39"/>
      <c r="H75" s="39"/>
      <c r="I75" s="39"/>
      <c r="J75" s="39"/>
    </row>
    <row r="76" customFormat="false" ht="48" hidden="false" customHeight="true" outlineLevel="0" collapsed="false">
      <c r="A76" s="38"/>
      <c r="B76" s="39"/>
      <c r="C76" s="39"/>
      <c r="D76" s="8"/>
      <c r="E76" s="8"/>
      <c r="F76" s="40"/>
      <c r="G76" s="39"/>
      <c r="H76" s="39"/>
      <c r="I76" s="39"/>
      <c r="J76" s="39"/>
    </row>
    <row r="77" customFormat="false" ht="48" hidden="false" customHeight="true" outlineLevel="0" collapsed="false">
      <c r="A77" s="38"/>
      <c r="B77" s="39"/>
      <c r="C77" s="39"/>
      <c r="D77" s="8"/>
      <c r="E77" s="8"/>
      <c r="F77" s="40"/>
      <c r="G77" s="39"/>
      <c r="H77" s="39"/>
      <c r="I77" s="39"/>
      <c r="J77" s="39"/>
    </row>
    <row r="78" customFormat="false" ht="48" hidden="false" customHeight="true" outlineLevel="0" collapsed="false">
      <c r="A78" s="38"/>
      <c r="B78" s="39"/>
      <c r="C78" s="39"/>
      <c r="D78" s="8"/>
      <c r="E78" s="8"/>
      <c r="F78" s="40"/>
      <c r="G78" s="39"/>
      <c r="H78" s="39"/>
      <c r="I78" s="39"/>
      <c r="J78" s="39"/>
    </row>
    <row r="79" customFormat="false" ht="48" hidden="false" customHeight="true" outlineLevel="0" collapsed="false">
      <c r="A79" s="38"/>
      <c r="B79" s="39"/>
      <c r="C79" s="39"/>
      <c r="D79" s="8"/>
      <c r="E79" s="8"/>
      <c r="F79" s="40"/>
      <c r="G79" s="39"/>
      <c r="H79" s="39"/>
      <c r="I79" s="39"/>
      <c r="J79" s="39"/>
    </row>
    <row r="80" customFormat="false" ht="48" hidden="false" customHeight="true" outlineLevel="0" collapsed="false">
      <c r="A80" s="38"/>
      <c r="B80" s="39"/>
      <c r="C80" s="39"/>
      <c r="D80" s="8"/>
      <c r="E80" s="8"/>
      <c r="F80" s="40"/>
      <c r="G80" s="39"/>
      <c r="H80" s="39"/>
      <c r="I80" s="39"/>
      <c r="J80" s="39"/>
    </row>
    <row r="81" customFormat="false" ht="48" hidden="false" customHeight="true" outlineLevel="0" collapsed="false">
      <c r="A81" s="38"/>
      <c r="B81" s="39"/>
      <c r="C81" s="39"/>
      <c r="D81" s="8"/>
      <c r="E81" s="8"/>
      <c r="F81" s="40"/>
      <c r="G81" s="39"/>
      <c r="H81" s="39"/>
      <c r="I81" s="39"/>
      <c r="J81" s="39"/>
    </row>
    <row r="82" customFormat="false" ht="48" hidden="false" customHeight="true" outlineLevel="0" collapsed="false">
      <c r="A82" s="38"/>
      <c r="B82" s="39"/>
      <c r="C82" s="39"/>
      <c r="D82" s="8"/>
      <c r="E82" s="8"/>
      <c r="F82" s="40"/>
      <c r="G82" s="39"/>
      <c r="H82" s="39"/>
      <c r="I82" s="39"/>
      <c r="J82" s="39"/>
    </row>
    <row r="83" customFormat="false" ht="48" hidden="false" customHeight="true" outlineLevel="0" collapsed="false">
      <c r="A83" s="38"/>
      <c r="B83" s="39"/>
      <c r="C83" s="39"/>
      <c r="D83" s="8"/>
      <c r="E83" s="8"/>
      <c r="F83" s="40"/>
      <c r="G83" s="39"/>
      <c r="H83" s="39"/>
      <c r="I83" s="39"/>
      <c r="J83" s="39"/>
    </row>
    <row r="84" customFormat="false" ht="48" hidden="false" customHeight="true" outlineLevel="0" collapsed="false">
      <c r="A84" s="38"/>
      <c r="B84" s="39"/>
      <c r="C84" s="39"/>
      <c r="D84" s="8"/>
      <c r="E84" s="8"/>
      <c r="F84" s="40"/>
      <c r="G84" s="39"/>
      <c r="H84" s="39"/>
      <c r="I84" s="39"/>
      <c r="J84" s="39"/>
    </row>
    <row r="85" customFormat="false" ht="48" hidden="false" customHeight="true" outlineLevel="0" collapsed="false">
      <c r="A85" s="38"/>
      <c r="B85" s="39"/>
      <c r="C85" s="39"/>
      <c r="D85" s="8"/>
      <c r="E85" s="8"/>
      <c r="F85" s="40"/>
      <c r="G85" s="39"/>
      <c r="H85" s="39"/>
      <c r="I85" s="39"/>
      <c r="J85" s="39"/>
    </row>
    <row r="86" customFormat="false" ht="48" hidden="false" customHeight="true" outlineLevel="0" collapsed="false">
      <c r="A86" s="38"/>
      <c r="B86" s="39"/>
      <c r="C86" s="39"/>
      <c r="D86" s="8"/>
      <c r="E86" s="8"/>
      <c r="F86" s="40"/>
      <c r="G86" s="39"/>
      <c r="H86" s="39"/>
      <c r="I86" s="39"/>
      <c r="J86" s="39"/>
    </row>
    <row r="87" customFormat="false" ht="48" hidden="false" customHeight="true" outlineLevel="0" collapsed="false">
      <c r="A87" s="38"/>
      <c r="B87" s="39"/>
      <c r="C87" s="39"/>
      <c r="D87" s="8"/>
      <c r="E87" s="8"/>
      <c r="F87" s="40"/>
      <c r="G87" s="39"/>
      <c r="H87" s="39"/>
      <c r="I87" s="39"/>
      <c r="J87" s="39"/>
    </row>
    <row r="88" customFormat="false" ht="48" hidden="false" customHeight="true" outlineLevel="0" collapsed="false">
      <c r="A88" s="38"/>
      <c r="B88" s="39"/>
      <c r="C88" s="39"/>
      <c r="D88" s="8"/>
      <c r="E88" s="8"/>
      <c r="F88" s="40"/>
      <c r="G88" s="39"/>
      <c r="H88" s="39"/>
      <c r="I88" s="39"/>
      <c r="J88" s="39"/>
    </row>
    <row r="89" customFormat="false" ht="48" hidden="false" customHeight="true" outlineLevel="0" collapsed="false">
      <c r="A89" s="38"/>
      <c r="B89" s="39"/>
      <c r="C89" s="39"/>
      <c r="D89" s="8"/>
      <c r="E89" s="8"/>
      <c r="F89" s="40"/>
      <c r="G89" s="39"/>
      <c r="H89" s="39"/>
      <c r="I89" s="39"/>
      <c r="J89" s="39"/>
    </row>
    <row r="90" customFormat="false" ht="48" hidden="false" customHeight="true" outlineLevel="0" collapsed="false">
      <c r="A90" s="38"/>
      <c r="B90" s="39"/>
      <c r="C90" s="39"/>
      <c r="D90" s="8"/>
      <c r="E90" s="8"/>
      <c r="F90" s="40"/>
      <c r="G90" s="39"/>
      <c r="H90" s="39"/>
      <c r="I90" s="39"/>
      <c r="J90" s="39"/>
    </row>
    <row r="91" customFormat="false" ht="48" hidden="false" customHeight="true" outlineLevel="0" collapsed="false">
      <c r="A91" s="38"/>
      <c r="B91" s="39"/>
      <c r="C91" s="39"/>
      <c r="D91" s="8"/>
      <c r="E91" s="8"/>
      <c r="F91" s="40"/>
      <c r="G91" s="39"/>
      <c r="H91" s="39"/>
      <c r="I91" s="39"/>
      <c r="J91" s="39"/>
    </row>
    <row r="92" customFormat="false" ht="48" hidden="false" customHeight="true" outlineLevel="0" collapsed="false">
      <c r="A92" s="38"/>
      <c r="B92" s="39"/>
      <c r="C92" s="39"/>
      <c r="D92" s="8"/>
      <c r="E92" s="8"/>
      <c r="F92" s="40"/>
      <c r="G92" s="39"/>
      <c r="H92" s="39"/>
      <c r="I92" s="39"/>
      <c r="J92" s="39"/>
    </row>
    <row r="93" customFormat="false" ht="48" hidden="false" customHeight="true" outlineLevel="0" collapsed="false">
      <c r="A93" s="38"/>
      <c r="B93" s="39"/>
      <c r="C93" s="39"/>
      <c r="D93" s="8"/>
      <c r="E93" s="8"/>
      <c r="F93" s="40"/>
      <c r="G93" s="39"/>
      <c r="H93" s="39"/>
      <c r="I93" s="39"/>
      <c r="J93" s="39"/>
    </row>
    <row r="94" customFormat="false" ht="48" hidden="false" customHeight="true" outlineLevel="0" collapsed="false">
      <c r="A94" s="38"/>
      <c r="B94" s="39"/>
      <c r="C94" s="39"/>
      <c r="D94" s="8"/>
      <c r="E94" s="8"/>
      <c r="F94" s="40"/>
      <c r="G94" s="39"/>
      <c r="H94" s="39"/>
      <c r="I94" s="39"/>
      <c r="J94" s="39"/>
    </row>
    <row r="95" customFormat="false" ht="48" hidden="false" customHeight="true" outlineLevel="0" collapsed="false">
      <c r="A95" s="38"/>
      <c r="B95" s="39"/>
      <c r="C95" s="39"/>
      <c r="D95" s="8"/>
      <c r="E95" s="8"/>
      <c r="F95" s="40"/>
      <c r="G95" s="39"/>
      <c r="H95" s="39"/>
      <c r="I95" s="39"/>
      <c r="J95" s="39"/>
    </row>
    <row r="96" customFormat="false" ht="48" hidden="false" customHeight="true" outlineLevel="0" collapsed="false">
      <c r="A96" s="38"/>
      <c r="B96" s="39"/>
      <c r="C96" s="39"/>
      <c r="D96" s="8"/>
      <c r="E96" s="8"/>
      <c r="F96" s="40"/>
      <c r="G96" s="39"/>
      <c r="H96" s="39"/>
      <c r="I96" s="39"/>
      <c r="J96" s="39"/>
    </row>
    <row r="97" customFormat="false" ht="48" hidden="false" customHeight="true" outlineLevel="0" collapsed="false">
      <c r="A97" s="38"/>
      <c r="B97" s="39"/>
      <c r="C97" s="39"/>
      <c r="D97" s="8"/>
      <c r="E97" s="8"/>
      <c r="F97" s="40"/>
      <c r="G97" s="39"/>
      <c r="H97" s="39"/>
      <c r="I97" s="39"/>
      <c r="J97" s="39"/>
    </row>
    <row r="98" customFormat="false" ht="48" hidden="false" customHeight="true" outlineLevel="0" collapsed="false">
      <c r="A98" s="38"/>
      <c r="B98" s="39"/>
      <c r="C98" s="39"/>
      <c r="D98" s="8"/>
      <c r="E98" s="8"/>
      <c r="F98" s="40"/>
      <c r="G98" s="39"/>
      <c r="H98" s="39"/>
      <c r="I98" s="39"/>
      <c r="J98" s="39"/>
    </row>
    <row r="99" customFormat="false" ht="48" hidden="false" customHeight="true" outlineLevel="0" collapsed="false">
      <c r="A99" s="38"/>
      <c r="B99" s="39"/>
      <c r="C99" s="39"/>
      <c r="D99" s="8"/>
      <c r="E99" s="8"/>
      <c r="F99" s="40"/>
      <c r="G99" s="39"/>
      <c r="H99" s="39"/>
      <c r="I99" s="39"/>
      <c r="J99" s="39"/>
    </row>
    <row r="100" customFormat="false" ht="48" hidden="false" customHeight="true" outlineLevel="0" collapsed="false">
      <c r="A100" s="38"/>
      <c r="B100" s="39"/>
      <c r="C100" s="39"/>
      <c r="D100" s="8"/>
      <c r="E100" s="8"/>
      <c r="F100" s="40"/>
      <c r="G100" s="39"/>
      <c r="H100" s="39"/>
      <c r="I100" s="39"/>
      <c r="J100" s="39"/>
    </row>
    <row r="101" customFormat="false" ht="48" hidden="false" customHeight="true" outlineLevel="0" collapsed="false">
      <c r="A101" s="38"/>
      <c r="B101" s="39"/>
      <c r="C101" s="39"/>
      <c r="D101" s="8"/>
      <c r="E101" s="8"/>
      <c r="F101" s="40"/>
      <c r="G101" s="39"/>
      <c r="H101" s="39"/>
      <c r="I101" s="39"/>
      <c r="J101" s="39"/>
    </row>
    <row r="102" customFormat="false" ht="48" hidden="false" customHeight="true" outlineLevel="0" collapsed="false">
      <c r="A102" s="38"/>
      <c r="B102" s="39"/>
      <c r="C102" s="39"/>
      <c r="D102" s="8"/>
      <c r="E102" s="8"/>
      <c r="F102" s="40"/>
      <c r="G102" s="39"/>
      <c r="H102" s="39"/>
      <c r="I102" s="39"/>
      <c r="J102" s="39"/>
    </row>
    <row r="103" customFormat="false" ht="48" hidden="false" customHeight="true" outlineLevel="0" collapsed="false">
      <c r="A103" s="38"/>
      <c r="B103" s="39"/>
      <c r="C103" s="39"/>
      <c r="D103" s="8"/>
      <c r="E103" s="8"/>
      <c r="F103" s="40"/>
      <c r="G103" s="39"/>
      <c r="H103" s="39"/>
      <c r="I103" s="39"/>
      <c r="J103" s="39"/>
    </row>
    <row r="104" customFormat="false" ht="48" hidden="false" customHeight="true" outlineLevel="0" collapsed="false">
      <c r="A104" s="38"/>
      <c r="B104" s="39"/>
      <c r="C104" s="39"/>
      <c r="D104" s="8"/>
      <c r="E104" s="8"/>
      <c r="F104" s="40"/>
      <c r="G104" s="39"/>
      <c r="H104" s="39"/>
      <c r="I104" s="39"/>
      <c r="J104" s="39"/>
    </row>
    <row r="105" customFormat="false" ht="48" hidden="false" customHeight="true" outlineLevel="0" collapsed="false">
      <c r="A105" s="38"/>
      <c r="B105" s="39"/>
      <c r="C105" s="39"/>
      <c r="D105" s="8"/>
      <c r="E105" s="8"/>
      <c r="F105" s="40"/>
      <c r="G105" s="39"/>
      <c r="H105" s="39"/>
      <c r="I105" s="39"/>
      <c r="J105" s="39"/>
    </row>
    <row r="106" customFormat="false" ht="48" hidden="false" customHeight="true" outlineLevel="0" collapsed="false">
      <c r="A106" s="38"/>
      <c r="B106" s="39"/>
      <c r="C106" s="39"/>
      <c r="D106" s="8"/>
      <c r="E106" s="8"/>
      <c r="F106" s="40"/>
      <c r="G106" s="39"/>
      <c r="H106" s="39"/>
      <c r="I106" s="39"/>
      <c r="J106" s="39"/>
    </row>
  </sheetData>
  <mergeCells count="3">
    <mergeCell ref="A2:J2"/>
    <mergeCell ref="A3:J3"/>
    <mergeCell ref="A4:J4"/>
  </mergeCells>
  <conditionalFormatting sqref="E7:E106">
    <cfRule type="containsText" priority="2" operator="containsText" aboveAverage="0" equalAverage="0" bottom="0" percent="0" rank="0" text="לא דווח" dxfId="18">
      <formula>NOT(ISERROR(SEARCH("לא דווח",E7)))</formula>
    </cfRule>
    <cfRule type="containsText" priority="3" operator="containsText" aboveAverage="0" equalAverage="0" bottom="0" percent="0" rank="0" text="טרם התחיל" dxfId="19">
      <formula>NOT(ISERROR(SEARCH("טרם התחיל",E7)))</formula>
    </cfRule>
    <cfRule type="containsText" priority="4" operator="containsText" aboveAverage="0" equalAverage="0" bottom="0" percent="0" rank="0" text="בעבודה" dxfId="20">
      <formula>NOT(ISERROR(SEARCH("בעבודה",E7)))</formula>
    </cfRule>
    <cfRule type="containsText" priority="5" operator="containsText" aboveAverage="0" equalAverage="0" bottom="0" percent="0" rank="0" text="ממתין" dxfId="21">
      <formula>NOT(ISERROR(SEARCH("ממתין",E7)))</formula>
    </cfRule>
    <cfRule type="containsText" priority="6" operator="containsText" aboveAverage="0" equalAverage="0" bottom="0" percent="0" rank="0" text="חסום" dxfId="22">
      <formula>NOT(ISERROR(SEARCH("חסום",E7)))</formula>
    </cfRule>
    <cfRule type="containsText" priority="7" operator="containsText" aboveAverage="0" equalAverage="0" bottom="0" percent="0" rank="0" text="הושלם" dxfId="23">
      <formula>NOT(ISERROR(SEARCH("הושלם",E7)))</formula>
    </cfRule>
  </conditionalFormatting>
  <conditionalFormatting sqref="F7:F106">
    <cfRule type="expression" priority="8" aboveAverage="0" equalAverage="0" bottom="0" percent="0" rank="0" text="" dxfId="24">
      <formula>AND(ISNUMBER(F7),F7&lt;TODAY(),$E7&lt;&gt;"הושלם",$C7&lt;&gt;"")</formula>
    </cfRule>
  </conditionalFormatting>
  <conditionalFormatting sqref="A7:C106">
    <cfRule type="expression" priority="9" aboveAverage="0" equalAverage="0" bottom="0" percent="0" rank="0" text="" dxfId="25">
      <formula>$B7="זיהוי ותפיסה"</formula>
    </cfRule>
    <cfRule type="expression" priority="10" aboveAverage="0" equalAverage="0" bottom="0" percent="0" rank="0" text="" dxfId="26">
      <formula>$B7="לוקאליזציה במרחב"</formula>
    </cfRule>
    <cfRule type="expression" priority="11" aboveAverage="0" equalAverage="0" bottom="0" percent="0" rank="0" text="" dxfId="27">
      <formula>$B7="ניווט לוקאלי"</formula>
    </cfRule>
    <cfRule type="expression" priority="12" aboveAverage="0" equalAverage="0" bottom="0" percent="0" rank="0" text="" dxfId="28">
      <formula>$B7="אינטגרציה והדגמה"</formula>
    </cfRule>
  </conditionalFormatting>
  <conditionalFormatting sqref="G7:J106">
    <cfRule type="expression" priority="13" aboveAverage="0" equalAverage="0" bottom="0" percent="0" rank="0" text="" dxfId="29">
      <formula>$B7="זיהוי ותפיסה"</formula>
    </cfRule>
    <cfRule type="expression" priority="14" aboveAverage="0" equalAverage="0" bottom="0" percent="0" rank="0" text="" dxfId="30">
      <formula>$B7="לוקאליזציה במרחב"</formula>
    </cfRule>
    <cfRule type="expression" priority="15" aboveAverage="0" equalAverage="0" bottom="0" percent="0" rank="0" text="" dxfId="31">
      <formula>$B7="ניווט לוקאלי"</formula>
    </cfRule>
    <cfRule type="expression" priority="16" aboveAverage="0" equalAverage="0" bottom="0" percent="0" rank="0" text="" dxfId="32">
      <formula>$B7="אינטגרציה והדגמה"</formula>
    </cfRule>
  </conditionalFormatting>
  <dataValidations count="4">
    <dataValidation allowBlank="false" errorStyle="stop" operator="equal" showDropDown="false" showErrorMessage="false" showInputMessage="false" sqref="B7:B106" type="list">
      <formula1>"זיהוי ותפיסה,לוקאליזציה במרחב,ניווט לוקאלי,אינטגרציה והדגמה"</formula1>
      <formula2>0</formula2>
    </dataValidation>
    <dataValidation allowBlank="false" errorStyle="stop" operator="between" showDropDown="false" showErrorMessage="false" showInputMessage="false" sqref="D7:D106" type="list">
      <formula1>"טרם נקבע,שירה,מקסים,ליאור,איתי,דויד,דניאל,פנחס,יהונתן,אליאס,שיקר"</formula1>
      <formula2>0</formula2>
    </dataValidation>
    <dataValidation allowBlank="false" errorStyle="stop" operator="equal" showDropDown="false" showErrorMessage="false" showInputMessage="false" sqref="E7:E106" type="list">
      <formula1>"לא דווח,טרם התחיל,בעבודה,ממתין,חסום,הושלם"</formula1>
      <formula2>0</formula2>
    </dataValidation>
    <dataValidation allowBlank="false" errorStyle="stop" operator="equal" showDropDown="false" showErrorMessage="false" showInputMessage="false" sqref="I7:I106" type="list">
      <formula1>"נמסר,נמסר כעתידי,נמסר כיעד,פירוק מוצע,נוסף על ידי הצוות"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2026-10-26T08:42:17Z</dcterms:modified>
  <cp:revision>1</cp:revision>
  <dc:subject/>
  <dc:title/>
</cp:coreProperties>
</file>